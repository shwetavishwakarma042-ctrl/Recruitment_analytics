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hwet\Downloads\"/>
    </mc:Choice>
  </mc:AlternateContent>
  <xr:revisionPtr revIDLastSave="0" documentId="8_{31AEC936-0FD1-4144-A683-12CBFFD600DA}" xr6:coauthVersionLast="47" xr6:coauthVersionMax="47" xr10:uidLastSave="{00000000-0000-0000-0000-000000000000}"/>
  <bookViews>
    <workbookView xWindow="-108" yWindow="-108" windowWidth="23256" windowHeight="12456" firstSheet="5" activeTab="7" xr2:uid="{A11BEB63-0368-438E-839A-398C67A2B3C4}"/>
  </bookViews>
  <sheets>
    <sheet name="RECRUITMENT DATA" sheetId="1" r:id="rId1"/>
    <sheet name="RECRUITMENT FUNNEL DISTRIBUTION" sheetId="19" r:id="rId2"/>
    <sheet name="HIRING CONVERSION RATE" sheetId="20" r:id="rId3"/>
    <sheet name="HIRING SUCCESS RATIO" sheetId="21" r:id="rId4"/>
    <sheet name="AVERAGE TIME TO HIRE ANALYSIS" sheetId="24" r:id="rId5"/>
    <sheet name="SALARY GAP ANALYSIS" sheetId="25" r:id="rId6"/>
    <sheet name="KEY INSIGHTS" sheetId="18" r:id="rId7"/>
    <sheet name="RECRUITMENT DASHBOARD" sheetId="26" r:id="rId8"/>
  </sheets>
  <definedNames>
    <definedName name="_xlnm._FilterDatabase" localSheetId="0" hidden="1">'RECRUITMENT DATA'!$A$1:$R$198</definedName>
    <definedName name="_xlchart.v1.0" hidden="1">'RECRUITMENT DATA'!$P$2:$P$198</definedName>
    <definedName name="_xlchart.v1.1" hidden="1">'RECRUITMENT DATA'!$P$2:$P$198</definedName>
    <definedName name="_xlcn.WorksheetConnection_RECRUITMENT_DATA.xlsxTable11" hidden="1">Table1[]</definedName>
    <definedName name="_xlcn.WorksheetConnection_RECRUITMENT_DATA.xlsxTable21" hidden="1">Table2</definedName>
    <definedName name="Slicer_DROP_OFF_STAG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RECRUITMENT_DATA.xlsx!Table2"/>
          <x15:modelTable id="Table1" name="Table1" connection="WorksheetConnection_RECRUITMENT_DATA.xlsx!Table1"/>
        </x15:modelTables>
        <x15:modelRelationships>
          <x15:modelRelationship fromTable="Table1" fromColumn="CANDIDATE _ID" toTable="Table2" toColumn="CANDIDAT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8" i="1" l="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19" i="1"/>
  <c r="E18" i="1"/>
  <c r="E17" i="1"/>
  <c r="E16" i="1"/>
  <c r="E15" i="1"/>
  <c r="E14" i="1"/>
  <c r="E13" i="1"/>
  <c r="E12" i="1"/>
  <c r="E11" i="1"/>
  <c r="E10" i="1"/>
  <c r="E9" i="1"/>
  <c r="E8" i="1"/>
  <c r="E7" i="1"/>
  <c r="E6" i="1"/>
  <c r="E5" i="1"/>
  <c r="E4" i="1"/>
  <c r="E3" i="1"/>
  <c r="E2" i="1"/>
  <c r="V15" i="1"/>
  <c r="U15" i="1"/>
  <c r="T15" i="1"/>
  <c r="V12" i="1"/>
  <c r="U12" i="1"/>
  <c r="T12" i="1"/>
  <c r="U8" i="1"/>
  <c r="E20"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19" i="1"/>
  <c r="A18" i="1"/>
  <c r="A17" i="1"/>
  <c r="A16" i="1"/>
  <c r="A15" i="1"/>
  <c r="A14" i="1"/>
  <c r="A13" i="1"/>
  <c r="A12" i="1"/>
  <c r="A11" i="1"/>
  <c r="A10" i="1"/>
  <c r="A9" i="1"/>
  <c r="A8" i="1"/>
  <c r="A7" i="1"/>
  <c r="A6" i="1"/>
  <c r="A5" i="1"/>
  <c r="A4" i="1"/>
  <c r="A3" i="1"/>
  <c r="A2" i="1"/>
  <c r="T8" i="1" s="1"/>
  <c r="V8" i="1" l="1"/>
  <c r="V4" i="1"/>
  <c r="U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B92DB3-63E2-4C99-9CEB-04201AC159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14FDD7B-6EE4-495B-A220-DFEF73DDCE09}" name="WorksheetConnection_RECRUITMENT_DATA.xlsx!Table1" type="102" refreshedVersion="8" minRefreshableVersion="5">
    <extLst>
      <ext xmlns:x15="http://schemas.microsoft.com/office/spreadsheetml/2010/11/main" uri="{DE250136-89BD-433C-8126-D09CA5730AF9}">
        <x15:connection id="Table1">
          <x15:rangePr sourceName="_xlcn.WorksheetConnection_RECRUITMENT_DATA.xlsxTable11"/>
        </x15:connection>
      </ext>
    </extLst>
  </connection>
  <connection id="3" xr16:uid="{E81A3C8C-B2B1-47C9-8E34-8094579E1608}" name="WorksheetConnection_RECRUITMENT_DATA.xlsx!Table2" type="102" refreshedVersion="8" minRefreshableVersion="5">
    <extLst>
      <ext xmlns:x15="http://schemas.microsoft.com/office/spreadsheetml/2010/11/main" uri="{DE250136-89BD-433C-8126-D09CA5730AF9}">
        <x15:connection id="Table2">
          <x15:rangePr sourceName="_xlcn.WorksheetConnection_RECRUITMENT_DATA.xlsxTable21"/>
        </x15:connection>
      </ext>
    </extLst>
  </connection>
</connections>
</file>

<file path=xl/sharedStrings.xml><?xml version="1.0" encoding="utf-8"?>
<sst xmlns="http://schemas.openxmlformats.org/spreadsheetml/2006/main" count="1803" uniqueCount="280">
  <si>
    <t>CANDIDATE_NAME</t>
  </si>
  <si>
    <t>GENDER</t>
  </si>
  <si>
    <t>DEPARTMENT</t>
  </si>
  <si>
    <t>RECRUITER</t>
  </si>
  <si>
    <t>APPLICATION_DATE</t>
  </si>
  <si>
    <t>SCREENING_DATE</t>
  </si>
  <si>
    <t>INTERVIEW_DATE</t>
  </si>
  <si>
    <t>OFFER_DATE</t>
  </si>
  <si>
    <t>STATUS</t>
  </si>
  <si>
    <t>EXPECTED_SALARY</t>
  </si>
  <si>
    <t>FEMALE</t>
  </si>
  <si>
    <t>MALE</t>
  </si>
  <si>
    <t>SALES</t>
  </si>
  <si>
    <t>TECHNOLOGY</t>
  </si>
  <si>
    <t>HR</t>
  </si>
  <si>
    <t>OPERATIONS</t>
  </si>
  <si>
    <t>ANANYA</t>
  </si>
  <si>
    <t>RAHUL</t>
  </si>
  <si>
    <t>PRIYA</t>
  </si>
  <si>
    <t>KARAN</t>
  </si>
  <si>
    <t>HIRED</t>
  </si>
  <si>
    <t>OFFER REJECTED</t>
  </si>
  <si>
    <t>BETTER OPPURTUNITY</t>
  </si>
  <si>
    <t>TIME-TO_HIRE_DAYS</t>
  </si>
  <si>
    <t>SALARY_GAP</t>
  </si>
  <si>
    <t>DROP_OFF_STAGE</t>
  </si>
  <si>
    <t>CANDIDATE_001</t>
  </si>
  <si>
    <t>CANDIDATE_002</t>
  </si>
  <si>
    <t>CANDIDATE_003</t>
  </si>
  <si>
    <t>CANDIDATE_004</t>
  </si>
  <si>
    <t>CANDIDATE_005</t>
  </si>
  <si>
    <t>CANDIDATE_006</t>
  </si>
  <si>
    <t>CANDIDATE_007</t>
  </si>
  <si>
    <t>CANDIDATE_008</t>
  </si>
  <si>
    <t>CANDIDATE_009</t>
  </si>
  <si>
    <t>CANDIDATE_010</t>
  </si>
  <si>
    <t>CANDIDATE_011</t>
  </si>
  <si>
    <t>CANDIDATE_012</t>
  </si>
  <si>
    <t>CANDIDATE_013</t>
  </si>
  <si>
    <t>CANDIDATE_014</t>
  </si>
  <si>
    <t>CANDIDATE_015</t>
  </si>
  <si>
    <t>CANDIDATE_016</t>
  </si>
  <si>
    <t>CANDIDATE_017</t>
  </si>
  <si>
    <t>CANDIDATE_018</t>
  </si>
  <si>
    <t>CANDIDATE_019</t>
  </si>
  <si>
    <t>CANDIDATE_020</t>
  </si>
  <si>
    <t>CANDIDATE_021</t>
  </si>
  <si>
    <t>CANDIDATE_022</t>
  </si>
  <si>
    <t>CANDIDATE_023</t>
  </si>
  <si>
    <t>CANDIDATE_024</t>
  </si>
  <si>
    <t>CANDIDATE_025</t>
  </si>
  <si>
    <t>CANDIDATE_026</t>
  </si>
  <si>
    <t>CANDIDATE_027</t>
  </si>
  <si>
    <t>CANDIDATE_028</t>
  </si>
  <si>
    <t>CANDIDATE_029</t>
  </si>
  <si>
    <t>CANDIDATE_030</t>
  </si>
  <si>
    <t>CANDIDATE_031</t>
  </si>
  <si>
    <t>CANDIDATE_033</t>
  </si>
  <si>
    <t>CANDIDATE_034</t>
  </si>
  <si>
    <t>CANDIDATE_035</t>
  </si>
  <si>
    <t>CANDIDATE_036</t>
  </si>
  <si>
    <t>CANDIDATE_037</t>
  </si>
  <si>
    <t>CANDIDATE_038</t>
  </si>
  <si>
    <t>CANDIDATE_039</t>
  </si>
  <si>
    <t>CANDIDATE_040</t>
  </si>
  <si>
    <t>CANDIDATE_041</t>
  </si>
  <si>
    <t>CANDIDATE_042</t>
  </si>
  <si>
    <t>CANDIDATE_043</t>
  </si>
  <si>
    <t>CANDIDATE_044</t>
  </si>
  <si>
    <t>CANDIDATE_045</t>
  </si>
  <si>
    <t>CANDIDATE_046</t>
  </si>
  <si>
    <t>CANDIDATE_047</t>
  </si>
  <si>
    <t>CANDIDATE_048</t>
  </si>
  <si>
    <t>CANDIDATE_049</t>
  </si>
  <si>
    <t>CANDIDATE_050</t>
  </si>
  <si>
    <t>CANDIDATE_051</t>
  </si>
  <si>
    <t>CANDIDATE_052</t>
  </si>
  <si>
    <t>CANDIDATE_053</t>
  </si>
  <si>
    <t>CANDIDATE_054</t>
  </si>
  <si>
    <t>CANDIDATE_055</t>
  </si>
  <si>
    <t>CANDIDATE_056</t>
  </si>
  <si>
    <t>CANDIDATE_057</t>
  </si>
  <si>
    <t>CANDIDATE_058</t>
  </si>
  <si>
    <t>CANDIDATE_060</t>
  </si>
  <si>
    <t>CANDIDATE_061</t>
  </si>
  <si>
    <t>CANDIDATE_062</t>
  </si>
  <si>
    <t>CANDIDATE_063</t>
  </si>
  <si>
    <t>CANDIDATE_064</t>
  </si>
  <si>
    <t>CANDIDATE_065</t>
  </si>
  <si>
    <t>CANDIDATE_066</t>
  </si>
  <si>
    <t>CANDIDATE_067</t>
  </si>
  <si>
    <t>CANDIDATE_068</t>
  </si>
  <si>
    <t>CANDIDATE_069</t>
  </si>
  <si>
    <t>CANDIDATE_070</t>
  </si>
  <si>
    <t>CANDIDATE_071</t>
  </si>
  <si>
    <t>CANDIDATE_072</t>
  </si>
  <si>
    <t>CANDIDATE_073</t>
  </si>
  <si>
    <t>CANDIDATE_074</t>
  </si>
  <si>
    <t>CANDIDATE_075</t>
  </si>
  <si>
    <t>CANDIDATE_076</t>
  </si>
  <si>
    <t>CANDIDATE_077</t>
  </si>
  <si>
    <t>CANDIDATE_078</t>
  </si>
  <si>
    <t>CANDIDATE_079</t>
  </si>
  <si>
    <t>CANDIDATE_080</t>
  </si>
  <si>
    <t>CANDIDATE_081</t>
  </si>
  <si>
    <t>CANDIDATE_082</t>
  </si>
  <si>
    <t>CANDIDATE_083</t>
  </si>
  <si>
    <t>CANDIDATE_084</t>
  </si>
  <si>
    <t>CANDIDATE_085</t>
  </si>
  <si>
    <t>CANDIDATE_086</t>
  </si>
  <si>
    <t>CANDIDATE_087</t>
  </si>
  <si>
    <t>CANDIDATE_088</t>
  </si>
  <si>
    <t>CANDIDATE_089</t>
  </si>
  <si>
    <t>CANDIDATE_090</t>
  </si>
  <si>
    <t>CANDIDATE_091</t>
  </si>
  <si>
    <t>CANDIDATE_092</t>
  </si>
  <si>
    <t>CANDIDATE_093</t>
  </si>
  <si>
    <t>CANDIDATE_094</t>
  </si>
  <si>
    <t>CANDIDATE_095</t>
  </si>
  <si>
    <t>CANDIDATE_096</t>
  </si>
  <si>
    <t>CANDIDATE_097</t>
  </si>
  <si>
    <t>CANDIDATE_098</t>
  </si>
  <si>
    <t>CANDIDATE_099</t>
  </si>
  <si>
    <t>CANDIDATE_100</t>
  </si>
  <si>
    <t>CANDIDATE_101</t>
  </si>
  <si>
    <t>CANDIDATE_102</t>
  </si>
  <si>
    <t>CANDIDATE_103</t>
  </si>
  <si>
    <t>CANDIDATE_104</t>
  </si>
  <si>
    <t>CANDIDATE_105</t>
  </si>
  <si>
    <t>CANDIDATE_106</t>
  </si>
  <si>
    <t>CANDIDATE_107</t>
  </si>
  <si>
    <t>CANDIDATE_108</t>
  </si>
  <si>
    <t>CANDIDATE_109</t>
  </si>
  <si>
    <t>CANDIDATE_110</t>
  </si>
  <si>
    <t>CANDIDATE_111</t>
  </si>
  <si>
    <t>CANDIDATE_112</t>
  </si>
  <si>
    <t>CANDIDATE_113</t>
  </si>
  <si>
    <t>CANDIDATE_114</t>
  </si>
  <si>
    <t>CANDIDATE_115</t>
  </si>
  <si>
    <t>CANDIDATE_116</t>
  </si>
  <si>
    <t>CANDIDATE_117</t>
  </si>
  <si>
    <t>CANDIDATE_118</t>
  </si>
  <si>
    <t>CANDIDATE_119</t>
  </si>
  <si>
    <t>CANDIDATE_120</t>
  </si>
  <si>
    <t>CANDIDATE_121</t>
  </si>
  <si>
    <t>CANDIDATE_122</t>
  </si>
  <si>
    <t>CANDIDATE_123</t>
  </si>
  <si>
    <t>CANDIDATE_124</t>
  </si>
  <si>
    <t>CANDIDATE_125</t>
  </si>
  <si>
    <t>CANDIDATE_126</t>
  </si>
  <si>
    <t>CANDIDATE_127</t>
  </si>
  <si>
    <t>CANDIDATE_128</t>
  </si>
  <si>
    <t>CANDIDATE_129</t>
  </si>
  <si>
    <t>CANDIDATE_130</t>
  </si>
  <si>
    <t>CANDIDATE_131</t>
  </si>
  <si>
    <t>CANDIDATE_132</t>
  </si>
  <si>
    <t>CANDIDATE_133</t>
  </si>
  <si>
    <t>CANDIDATE_134</t>
  </si>
  <si>
    <t>CANDIDATE_135</t>
  </si>
  <si>
    <t>CANDIDATE_136</t>
  </si>
  <si>
    <t>CANDIDATE_137</t>
  </si>
  <si>
    <t>CANDIDATE_139</t>
  </si>
  <si>
    <t>CANDIDATE_140</t>
  </si>
  <si>
    <t>CANDIDATE_141</t>
  </si>
  <si>
    <t>CANDIDATE_142</t>
  </si>
  <si>
    <t>CANDIDATE_143</t>
  </si>
  <si>
    <t>CANDIDATE_144</t>
  </si>
  <si>
    <t>CANDIDATE_145</t>
  </si>
  <si>
    <t>CANDIDATE_146</t>
  </si>
  <si>
    <t>CANDIDATE_147</t>
  </si>
  <si>
    <t>CANDIDATE_148</t>
  </si>
  <si>
    <t>CANDIDATE_149</t>
  </si>
  <si>
    <t>CANDIDATE_150</t>
  </si>
  <si>
    <t>CANDIDATE_151</t>
  </si>
  <si>
    <t>CANDIDATE_152</t>
  </si>
  <si>
    <t>CANDIDATE_153</t>
  </si>
  <si>
    <t>CANDIDATE_154</t>
  </si>
  <si>
    <t>CANDIDATE_155</t>
  </si>
  <si>
    <t>CANDIDATE_156</t>
  </si>
  <si>
    <t>CANDIDATE_157</t>
  </si>
  <si>
    <t>CANDIDATE_158</t>
  </si>
  <si>
    <t>CANDIDATE_159</t>
  </si>
  <si>
    <t>CANDIDATE_160</t>
  </si>
  <si>
    <t>CANDIDATE_161</t>
  </si>
  <si>
    <t>CANDIDATE_162</t>
  </si>
  <si>
    <t>CANDIDATE_163</t>
  </si>
  <si>
    <t>CANDIDATE_164</t>
  </si>
  <si>
    <t>CANDIDATE_165</t>
  </si>
  <si>
    <t>CANDIDATE_166</t>
  </si>
  <si>
    <t>CANDIDATE_167</t>
  </si>
  <si>
    <t>CANDIDATE_168</t>
  </si>
  <si>
    <t>CANDIDATE_169</t>
  </si>
  <si>
    <t>CANDIDATE_170</t>
  </si>
  <si>
    <t>CANDIDATE_171</t>
  </si>
  <si>
    <t>CANDIDATE_172</t>
  </si>
  <si>
    <t>CANDIDATE_173</t>
  </si>
  <si>
    <t>CANDIDATE_174</t>
  </si>
  <si>
    <t>CANDIDATE_175</t>
  </si>
  <si>
    <t>CANDIDATE_176</t>
  </si>
  <si>
    <t>CANDIDATE_177</t>
  </si>
  <si>
    <t>CANDIDATE_178</t>
  </si>
  <si>
    <t>CANDIDATE_179</t>
  </si>
  <si>
    <t>CANDIDATE_180</t>
  </si>
  <si>
    <t>CANDIDATE_181</t>
  </si>
  <si>
    <t>CANDIDATE_182</t>
  </si>
  <si>
    <t>CANDIDATE_183</t>
  </si>
  <si>
    <t>CANDIDATE_184</t>
  </si>
  <si>
    <t>CANDIDATE_185</t>
  </si>
  <si>
    <t>CANDIDATE_186</t>
  </si>
  <si>
    <t>CANDIDATE_187</t>
  </si>
  <si>
    <t>CANDIDATE_188</t>
  </si>
  <si>
    <t>CANDIDATE_189</t>
  </si>
  <si>
    <t>CANDIDATE_190</t>
  </si>
  <si>
    <t>CANDIDATE_191</t>
  </si>
  <si>
    <t>CANDIDATE_192</t>
  </si>
  <si>
    <t>CANDIDATE_193</t>
  </si>
  <si>
    <t>CANDIDATE_194</t>
  </si>
  <si>
    <t>CANDIDATE_195</t>
  </si>
  <si>
    <t>CANDIDATE_196</t>
  </si>
  <si>
    <t>CANDIDATE_197</t>
  </si>
  <si>
    <t>CANDIDATE_198</t>
  </si>
  <si>
    <t>CANDIDATE_199</t>
  </si>
  <si>
    <t>CANDIDATE_200</t>
  </si>
  <si>
    <t>REJECTED - SCREENING</t>
  </si>
  <si>
    <t>REJECTED - INTERVIEW</t>
  </si>
  <si>
    <t>Row Labels</t>
  </si>
  <si>
    <t>Grand Total</t>
  </si>
  <si>
    <t/>
  </si>
  <si>
    <t>OFFERED SALARY</t>
  </si>
  <si>
    <t>SUCCESSFULLY HIRED</t>
  </si>
  <si>
    <t>SCREENING</t>
  </si>
  <si>
    <t>OFFER</t>
  </si>
  <si>
    <t>INTERVIEW</t>
  </si>
  <si>
    <t>REJECTION REASON</t>
  </si>
  <si>
    <t>NOT QUALIFIED</t>
  </si>
  <si>
    <t>TECHNICAL SKILLS GAP</t>
  </si>
  <si>
    <t>N/A</t>
  </si>
  <si>
    <t>SOURCE</t>
  </si>
  <si>
    <t>REFERRAL</t>
  </si>
  <si>
    <t>INDEED</t>
  </si>
  <si>
    <t>COMPANY WEBSITE</t>
  </si>
  <si>
    <t>NAUKRI</t>
  </si>
  <si>
    <t>LINKEDIN</t>
  </si>
  <si>
    <t>CANDIDATE _ID</t>
  </si>
  <si>
    <t>EXPERIENCE</t>
  </si>
  <si>
    <t>MEAN-</t>
  </si>
  <si>
    <t>MEDIAN</t>
  </si>
  <si>
    <t>MODE</t>
  </si>
  <si>
    <t>TOTAL CANDIDATES</t>
  </si>
  <si>
    <t>TOTAL SUCCESSFULLY HIRED</t>
  </si>
  <si>
    <t>HIRING RATE % FORMULA</t>
  </si>
  <si>
    <t>Count of CANDIDATE _ID</t>
  </si>
  <si>
    <t>RECRUITMENT FUNNEL ANALYSIS</t>
  </si>
  <si>
    <t>1. FUNNEL DISTRIBUTION</t>
  </si>
  <si>
    <t>Out of 196 total candidates, 56 reached the screening stage, 43 progressed to the interview stage , and 57 advanced to the offer stage.Ultimately, only 40 chandidates were successfully hired.</t>
  </si>
  <si>
    <r>
      <t xml:space="preserve">The overall hiring rate was </t>
    </r>
    <r>
      <rPr>
        <b/>
        <sz val="16"/>
        <color theme="1"/>
        <rFont val="Franklin Gothic Book"/>
        <family val="2"/>
        <scheme val="minor"/>
      </rPr>
      <t>20.4%</t>
    </r>
    <r>
      <rPr>
        <sz val="16"/>
        <color theme="1"/>
        <rFont val="Franklin Gothic Book"/>
        <family val="2"/>
        <scheme val="minor"/>
      </rPr>
      <t>(40 out of 196 candidates).</t>
    </r>
  </si>
  <si>
    <t>2.HIRING EFFECTIVENESS</t>
  </si>
  <si>
    <t>3.STAGE-WISE CONVERSION ANALYSIS</t>
  </si>
  <si>
    <r>
      <t xml:space="preserve">The conversion rate remains strong from screening to interview </t>
    </r>
    <r>
      <rPr>
        <b/>
        <sz val="14"/>
        <color theme="1"/>
        <rFont val="Franklin Gothic Book"/>
        <family val="2"/>
        <scheme val="minor"/>
      </rPr>
      <t>(76.8%)</t>
    </r>
    <r>
      <rPr>
        <sz val="14"/>
        <color theme="1"/>
        <rFont val="Franklin Gothic Book"/>
        <family val="2"/>
        <scheme val="minor"/>
      </rPr>
      <t>, indicating effective candidate filtering at the initial stage. However, a notable drop is observed at the final hiring stage, where only</t>
    </r>
    <r>
      <rPr>
        <b/>
        <sz val="14"/>
        <color theme="1"/>
        <rFont val="Franklin Gothic Book"/>
        <family val="2"/>
        <scheme val="minor"/>
      </rPr>
      <t xml:space="preserve"> 70.2%</t>
    </r>
    <r>
      <rPr>
        <sz val="14"/>
        <color theme="1"/>
        <rFont val="Franklin Gothic Book"/>
        <family val="2"/>
        <scheme val="minor"/>
      </rPr>
      <t xml:space="preserve"> of offered candidates were successfully hired. This suggests potential offer rejections or candidate withdrawals during the final stage of the recruitment process.</t>
    </r>
  </si>
  <si>
    <r>
      <t xml:space="preserve">• Screening Rate: </t>
    </r>
    <r>
      <rPr>
        <b/>
        <sz val="14"/>
        <color theme="1"/>
        <rFont val="Franklin Gothic Book"/>
        <family val="2"/>
        <scheme val="minor"/>
      </rPr>
      <t>28.6%</t>
    </r>
    <r>
      <rPr>
        <sz val="14"/>
        <color theme="1"/>
        <rFont val="Franklin Gothic Book"/>
        <family val="2"/>
        <scheme val="minor"/>
      </rPr>
      <t xml:space="preserve"> (56 out of 196 candidates)
• Interview Conversion Rate: </t>
    </r>
    <r>
      <rPr>
        <b/>
        <sz val="14"/>
        <color theme="1"/>
        <rFont val="Franklin Gothic Book"/>
        <family val="2"/>
        <scheme val="minor"/>
      </rPr>
      <t>76.8%</t>
    </r>
    <r>
      <rPr>
        <sz val="14"/>
        <color theme="1"/>
        <rFont val="Franklin Gothic Book"/>
        <family val="2"/>
        <scheme val="minor"/>
      </rPr>
      <t xml:space="preserve"> (43 out of 56 screened candidates)
• Offer Conversion Rate:</t>
    </r>
    <r>
      <rPr>
        <b/>
        <sz val="14"/>
        <color theme="1"/>
        <rFont val="Franklin Gothic Book"/>
        <family val="2"/>
        <scheme val="minor"/>
      </rPr>
      <t xml:space="preserve"> 29.1%</t>
    </r>
    <r>
      <rPr>
        <sz val="14"/>
        <color theme="1"/>
        <rFont val="Franklin Gothic Book"/>
        <family val="2"/>
        <scheme val="minor"/>
      </rPr>
      <t xml:space="preserve"> (57 out of 196 total candidates)
• Final Hiring Conversion Rate: </t>
    </r>
    <r>
      <rPr>
        <b/>
        <sz val="14"/>
        <color theme="1"/>
        <rFont val="Franklin Gothic Book"/>
        <family val="2"/>
        <scheme val="minor"/>
      </rPr>
      <t>70.2%</t>
    </r>
    <r>
      <rPr>
        <sz val="14"/>
        <color theme="1"/>
        <rFont val="Franklin Gothic Book"/>
        <family val="2"/>
        <scheme val="minor"/>
      </rPr>
      <t xml:space="preserve"> (40 out of 57 offered candidates)</t>
    </r>
  </si>
  <si>
    <t>AVERAGE TIME TO HIRE</t>
  </si>
  <si>
    <t>MINIMUM TIME</t>
  </si>
  <si>
    <t>MAXIMUM TIME</t>
  </si>
  <si>
    <t>TIME TO HIRE ANALYSIS</t>
  </si>
  <si>
    <t>The average time to hire was 4.3 days, indicating a relatively fast recruitment cycle. The minimum hiring time recorded was 0 days, suggesting either same-day hiring decisions or potential data inconsistencies. The maximum time to hire extended up to 30.3 days, highlighting variability in the recruitment process for certain candidates.</t>
  </si>
  <si>
    <t>.</t>
  </si>
  <si>
    <t>30..</t>
  </si>
  <si>
    <t>CANDIDATE DROP OFF ANALYSIS</t>
  </si>
  <si>
    <t>A significant number of candidates dropped off at the screening (56 candidates) and offer stage (57 candidates). The highest drop-off occurred at the offer stage, suggesting potential issues such as compensation expectations, competing offers, or candidate reconsideration. Only 40 candidates were successfully hired, indicating room for improvement in final-stage conversion.</t>
  </si>
  <si>
    <t>AVERAGE SALARY GAP</t>
  </si>
  <si>
    <t>MINIMUM SALARY GAP</t>
  </si>
  <si>
    <t>MAXIMUM SALARY GAP</t>
  </si>
  <si>
    <t>The average salary gap was -10,232, indicating that candidates were generally offered lower compensation than their expectations. The maximum negative gap reached -112,010, suggesting significant discrepancies in some cases. No candidate received an offer exceeding their expected salary. This salary mismatch may be a contributing factor to the high drop-off observed at the offer stage.</t>
  </si>
  <si>
    <t>SALARY GAP ANALYSIS</t>
  </si>
  <si>
    <t>COUNT</t>
  </si>
  <si>
    <t>NOT HIRED</t>
  </si>
  <si>
    <t>Average of TIME-TO_HIRE_DAYS</t>
  </si>
  <si>
    <t>Average of SALARY_GAP</t>
  </si>
  <si>
    <t>RECRUITMENT ANALYTICS DASHBOARD</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</si>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</sst>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13" x14ac:knownFonts="1">
    <font>
      <sz val="11"/>
      <color theme="1"/>
      <name val="Franklin Gothic Book"/>
      <family val="2"/>
      <scheme val="minor"/>
    </font>
    <font>
      <sz val="8"/>
      <name val="Franklin Gothic Book"/>
      <family val="2"/>
      <scheme val="minor"/>
    </font>
    <font>
      <b/>
      <sz val="11"/>
      <color theme="1"/>
      <name val="Franklin Gothic Book"/>
      <family val="2"/>
      <scheme val="minor"/>
    </font>
    <font>
      <sz val="14"/>
      <color theme="1"/>
      <name val="Franklin Gothic Book"/>
      <family val="2"/>
      <scheme val="minor"/>
    </font>
    <font>
      <sz val="16"/>
      <color theme="1"/>
      <name val="Franklin Gothic Book"/>
      <family val="2"/>
      <scheme val="minor"/>
    </font>
    <font>
      <sz val="18"/>
      <color theme="1"/>
      <name val="Franklin Gothic Book"/>
      <family val="2"/>
      <scheme val="minor"/>
    </font>
    <font>
      <b/>
      <sz val="28"/>
      <color theme="1"/>
      <name val="Franklin Gothic Book"/>
      <family val="2"/>
      <scheme val="minor"/>
    </font>
    <font>
      <b/>
      <sz val="20"/>
      <color theme="1"/>
      <name val="Franklin Gothic Book"/>
      <family val="2"/>
      <scheme val="minor"/>
    </font>
    <font>
      <b/>
      <sz val="16"/>
      <color theme="1"/>
      <name val="Franklin Gothic Book"/>
      <family val="2"/>
      <scheme val="minor"/>
    </font>
    <font>
      <b/>
      <sz val="14"/>
      <color theme="1"/>
      <name val="Franklin Gothic Book"/>
      <family val="2"/>
      <scheme val="minor"/>
    </font>
    <font>
      <sz val="24"/>
      <color theme="1"/>
      <name val="Franklin Gothic Book"/>
      <family val="2"/>
      <scheme val="minor"/>
    </font>
    <font>
      <b/>
      <sz val="26"/>
      <color theme="1"/>
      <name val="Franklin Gothic Book"/>
      <family val="2"/>
      <scheme val="minor"/>
    </font>
    <font>
      <sz val="36"/>
      <color theme="1"/>
      <name val="Franklin Gothic Book"/>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4" tint="0.59999389629810485"/>
        <bgColor indexed="64"/>
      </patternFill>
    </fill>
    <fill>
      <patternFill patternType="solid">
        <fgColor theme="7"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40">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0" fillId="2" borderId="1" xfId="0" applyFill="1" applyBorder="1"/>
    <xf numFmtId="0" fontId="0" fillId="2" borderId="1" xfId="0" applyFill="1" applyBorder="1" applyAlignment="1">
      <alignment horizontal="left"/>
    </xf>
    <xf numFmtId="0" fontId="0" fillId="3" borderId="0" xfId="0" applyFill="1"/>
    <xf numFmtId="0" fontId="0" fillId="3" borderId="1" xfId="0" applyFill="1" applyBorder="1"/>
    <xf numFmtId="0" fontId="2" fillId="3" borderId="1" xfId="0" applyFont="1" applyFill="1" applyBorder="1"/>
    <xf numFmtId="0" fontId="2" fillId="2" borderId="1" xfId="0" applyFont="1" applyFill="1" applyBorder="1"/>
    <xf numFmtId="2" fontId="0" fillId="2" borderId="1" xfId="0" applyNumberFormat="1" applyFill="1" applyBorder="1"/>
    <xf numFmtId="165" fontId="0" fillId="2" borderId="1" xfId="0" applyNumberFormat="1" applyFill="1" applyBorder="1"/>
    <xf numFmtId="0" fontId="2" fillId="2" borderId="2" xfId="0" applyFont="1" applyFill="1" applyBorder="1"/>
    <xf numFmtId="14" fontId="2" fillId="2" borderId="1" xfId="0" applyNumberFormat="1" applyFont="1" applyFill="1" applyBorder="1"/>
    <xf numFmtId="1" fontId="2" fillId="2" borderId="1" xfId="0" applyNumberFormat="1" applyFont="1" applyFill="1" applyBorder="1"/>
    <xf numFmtId="0" fontId="2" fillId="2" borderId="3" xfId="0" applyFont="1" applyFill="1" applyBorder="1"/>
    <xf numFmtId="0" fontId="2" fillId="4" borderId="4" xfId="0" applyFont="1" applyFill="1" applyBorder="1"/>
    <xf numFmtId="0" fontId="2" fillId="4" borderId="5" xfId="0" applyFont="1" applyFill="1" applyBorder="1"/>
    <xf numFmtId="1" fontId="2" fillId="4" borderId="5" xfId="0" applyNumberFormat="1" applyFont="1" applyFill="1" applyBorder="1"/>
    <xf numFmtId="0" fontId="2" fillId="4" borderId="6" xfId="0" applyFont="1" applyFill="1" applyBorder="1"/>
    <xf numFmtId="0" fontId="2" fillId="2" borderId="0" xfId="0" applyFont="1" applyFill="1" applyAlignment="1">
      <alignment horizontal="center"/>
    </xf>
    <xf numFmtId="164" fontId="2" fillId="2" borderId="0" xfId="0" applyNumberFormat="1" applyFont="1" applyFill="1"/>
    <xf numFmtId="1" fontId="2" fillId="2" borderId="0" xfId="0" applyNumberFormat="1" applyFont="1" applyFill="1"/>
    <xf numFmtId="0" fontId="6" fillId="2" borderId="0" xfId="0" applyFont="1" applyFill="1" applyAlignment="1">
      <alignment horizontal="center"/>
    </xf>
    <xf numFmtId="0" fontId="6" fillId="2" borderId="0" xfId="0" applyFont="1" applyFill="1"/>
    <xf numFmtId="0" fontId="0" fillId="2" borderId="0" xfId="0" applyFill="1" applyAlignment="1">
      <alignment vertical="top"/>
    </xf>
    <xf numFmtId="0" fontId="5" fillId="2" borderId="0" xfId="0" applyFont="1" applyFill="1" applyAlignment="1">
      <alignment wrapText="1"/>
    </xf>
    <xf numFmtId="0" fontId="0" fillId="2" borderId="0" xfId="0" applyFill="1" applyAlignment="1">
      <alignment wrapText="1"/>
    </xf>
    <xf numFmtId="0" fontId="4" fillId="2" borderId="0" xfId="0" applyFont="1" applyFill="1" applyAlignment="1">
      <alignment wrapText="1"/>
    </xf>
    <xf numFmtId="0" fontId="4" fillId="2" borderId="0" xfId="0" applyFont="1" applyFill="1" applyAlignment="1">
      <alignment horizontal="left" wrapText="1"/>
    </xf>
    <xf numFmtId="0" fontId="7" fillId="2" borderId="0" xfId="0" applyFont="1" applyFill="1" applyAlignment="1">
      <alignment horizontal="center"/>
    </xf>
    <xf numFmtId="0" fontId="4" fillId="2" borderId="0" xfId="0" applyFont="1" applyFill="1"/>
    <xf numFmtId="0" fontId="3" fillId="2" borderId="0" xfId="0" applyFont="1" applyFill="1" applyAlignment="1">
      <alignment horizontal="left" wrapText="1"/>
    </xf>
    <xf numFmtId="0" fontId="3" fillId="2" borderId="0" xfId="0" applyFont="1" applyFill="1" applyAlignment="1">
      <alignment wrapText="1"/>
    </xf>
    <xf numFmtId="0" fontId="2" fillId="3" borderId="0" xfId="0" applyFont="1" applyFill="1"/>
    <xf numFmtId="0" fontId="0" fillId="3" borderId="7" xfId="0" applyFill="1" applyBorder="1"/>
    <xf numFmtId="0" fontId="0" fillId="3" borderId="0" xfId="0" applyFill="1" applyAlignment="1">
      <alignment horizontal="center"/>
    </xf>
    <xf numFmtId="0" fontId="10" fillId="3" borderId="0" xfId="0" applyFont="1" applyFill="1" applyAlignment="1">
      <alignment horizontal="center"/>
    </xf>
    <xf numFmtId="0" fontId="12" fillId="3" borderId="0" xfId="0" applyFont="1" applyFill="1" applyAlignment="1">
      <alignment horizontal="left"/>
    </xf>
    <xf numFmtId="0" fontId="11" fillId="2" borderId="0" xfId="0" applyFont="1" applyFill="1"/>
  </cellXfs>
  <cellStyles count="1">
    <cellStyle name="Normal" xfId="0" builtinId="0"/>
  </cellStyles>
  <dxfs count="7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165" formatCode="&quot;₹&quot;\ #,##0.00"/>
    </dxf>
    <dxf>
      <numFmt numFmtId="165" formatCode="&quot;₹&quot;\ #,##0.00"/>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fill>
        <patternFill patternType="solid">
          <fgColor indexed="64"/>
          <bgColor theme="6" tint="0.59999389629810485"/>
        </patternFill>
      </fill>
      <border diagonalUp="0" diagonalDown="0" outline="0">
        <left style="thin">
          <color indexed="64"/>
        </left>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 formatCode="0"/>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 formatCode="0"/>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 formatCode="0"/>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9" formatCode="dd/mm/yyyy"/>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9" formatCode="dd/mm/yyyy"/>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9" formatCode="dd/mm/yyyy"/>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numFmt numFmtId="19" formatCode="dd/mm/yyyy"/>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Franklin Gothic Book"/>
        <family val="2"/>
        <scheme val="minor"/>
      </font>
      <numFmt numFmtId="0" formatCode="General"/>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Franklin Gothic Book"/>
        <family val="2"/>
        <scheme val="minor"/>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Franklin Gothic Book"/>
        <family val="2"/>
        <scheme val="minor"/>
      </font>
      <fill>
        <patternFill patternType="solid">
          <fgColor indexed="64"/>
          <bgColor theme="6" tint="0.59999389629810485"/>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fill>
        <patternFill patternType="solid">
          <fgColor indexed="64"/>
          <bgColor theme="6" tint="0.59999389629810485"/>
        </patternFill>
      </fill>
    </dxf>
    <dxf>
      <border outline="0">
        <bottom style="thin">
          <color indexed="64"/>
        </bottom>
      </border>
    </dxf>
    <dxf>
      <font>
        <b/>
      </font>
      <fill>
        <patternFill patternType="solid">
          <fgColor indexed="64"/>
          <bgColor theme="7"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[RECRUITMENT_DATA.xlsx]RECRUITMENT FUNNEL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CANDIDATE</a:t>
            </a:r>
            <a:r>
              <a:rPr lang="en-IN" b="1" baseline="0">
                <a:solidFill>
                  <a:srgbClr val="FF0000"/>
                </a:solidFill>
              </a:rPr>
              <a:t> PROGRESSION THROUGH RECRUITMENT STAGES</a:t>
            </a:r>
          </a:p>
          <a:p>
            <a:pPr>
              <a:defRPr/>
            </a:pPr>
            <a:endParaRPr lang="en-IN"/>
          </a:p>
        </c:rich>
      </c:tx>
      <c:layout>
        <c:manualLayout>
          <c:xMode val="edge"/>
          <c:yMode val="edge"/>
          <c:x val="0.21539566929133858"/>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'RECRUITMENT FUNNEL DISTRIBUTION'!$B$3</c:f>
              <c:strCache>
                <c:ptCount val="1"/>
                <c:pt idx="0">
                  <c:v>Total</c:v>
                </c:pt>
              </c:strCache>
            </c:strRef>
          </c:tx>
          <c:spPr>
            <a:solidFill>
              <a:schemeClr val="accent1"/>
            </a:solidFill>
            <a:ln>
              <a:noFill/>
            </a:ln>
            <a:effectLst/>
          </c:spPr>
          <c:invertIfNegative val="0"/>
          <c:cat>
            <c:strRef>
              <c:f>'RECRUITMENT FUNNEL DISTRIBUTION'!$A$4:$A$5</c:f>
              <c:strCache>
                <c:ptCount val="1"/>
                <c:pt idx="0">
                  <c:v>SUCCESSFULLY HIRED</c:v>
                </c:pt>
              </c:strCache>
            </c:strRef>
          </c:cat>
          <c:val>
            <c:numRef>
              <c:f>'RECRUITMENT FUNNEL DISTRIBUTION'!$B$4:$B$5</c:f>
              <c:numCache>
                <c:formatCode>General</c:formatCode>
                <c:ptCount val="1"/>
                <c:pt idx="0">
                  <c:v>40</c:v>
                </c:pt>
              </c:numCache>
            </c:numRef>
          </c:val>
          <c:extLst>
            <c:ext xmlns:c16="http://schemas.microsoft.com/office/drawing/2014/chart" uri="{C3380CC4-5D6E-409C-BE32-E72D297353CC}">
              <c16:uniqueId val="{00000000-EF7D-49CD-A8F6-F59A976FCD86}"/>
            </c:ext>
          </c:extLst>
        </c:ser>
        <c:dLbls>
          <c:showLegendKey val="0"/>
          <c:showVal val="0"/>
          <c:showCatName val="0"/>
          <c:showSerName val="0"/>
          <c:showPercent val="0"/>
          <c:showBubbleSize val="0"/>
        </c:dLbls>
        <c:gapWidth val="219"/>
        <c:overlap val="-27"/>
        <c:axId val="841098975"/>
        <c:axId val="841100415"/>
      </c:barChart>
      <c:catAx>
        <c:axId val="8410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0415"/>
        <c:crosses val="autoZero"/>
        <c:auto val="1"/>
        <c:lblAlgn val="ctr"/>
        <c:lblOffset val="100"/>
        <c:noMultiLvlLbl val="0"/>
      </c:catAx>
      <c:valAx>
        <c:axId val="8411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HIRING CONVERSION</a:t>
            </a:r>
            <a:r>
              <a:rPr lang="en-US" b="1" baseline="0">
                <a:solidFill>
                  <a:schemeClr val="tx1"/>
                </a:solidFill>
              </a:rPr>
              <a:t> RATE</a:t>
            </a:r>
            <a:endParaRPr lang="en-US" b="1">
              <a:solidFill>
                <a:schemeClr val="tx1"/>
              </a:solidFill>
            </a:endParaRPr>
          </a:p>
        </c:rich>
      </c:tx>
      <c:layout>
        <c:manualLayout>
          <c:xMode val="edge"/>
          <c:yMode val="edge"/>
          <c:x val="0.28414566929133861"/>
          <c:y val="6.4635272391505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'HIRING CONVERSION RATE'!$B$1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FE-4988-91F3-9AB8BC5AE4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FE-4988-91F3-9AB8BC5AE4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CONVERSION RATE'!$A$2:$A$3</c:f>
              <c:strCache>
                <c:ptCount val="2"/>
                <c:pt idx="0">
                  <c:v>HIRED</c:v>
                </c:pt>
                <c:pt idx="1">
                  <c:v>NOT HIRED</c:v>
                </c:pt>
              </c:strCache>
            </c:strRef>
          </c:cat>
          <c:val>
            <c:numRef>
              <c:f>'HIRING CONVERSION RATE'!$B$2:$B$3</c:f>
              <c:numCache>
                <c:formatCode>General</c:formatCode>
                <c:ptCount val="2"/>
                <c:pt idx="0">
                  <c:v>40</c:v>
                </c:pt>
                <c:pt idx="1">
                  <c:v>156</c:v>
                </c:pt>
              </c:numCache>
            </c:numRef>
          </c:val>
          <c:extLst>
            <c:ext xmlns:c16="http://schemas.microsoft.com/office/drawing/2014/chart" uri="{C3380CC4-5D6E-409C-BE32-E72D297353CC}">
              <c16:uniqueId val="{00000000-19EE-4E76-9990-68CFA9070E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solidFill>
                  <a:schemeClr val="tx1"/>
                </a:solidFill>
              </a:rPr>
              <a:t>HIRING SUCCESS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'HIRING SUCCESS RATIO'!$B$1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B2-490B-9344-AFF71206A0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B2-490B-9344-AFF71206A02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'HIRING SUCCESS RATIO'!$A$2:$A$3</c:f>
              <c:strCache>
                <c:ptCount val="2"/>
                <c:pt idx="0">
                  <c:v>HIRED</c:v>
                </c:pt>
                <c:pt idx="1">
                  <c:v>NOT HIRED</c:v>
                </c:pt>
              </c:strCache>
            </c:strRef>
          </c:cat>
          <c:val>
            <c:numRef>
              <c:f>'HIRING SUCCESS RATIO'!$B$2:$B$3</c:f>
              <c:numCache>
                <c:formatCode>General</c:formatCode>
                <c:ptCount val="2"/>
                <c:pt idx="0">
                  <c:v>40</c:v>
                </c:pt>
                <c:pt idx="1">
                  <c:v>156</c:v>
                </c:pt>
              </c:numCache>
            </c:numRef>
          </c:val>
          <c:extLst>
            <c:ext xmlns:c16="http://schemas.microsoft.com/office/drawing/2014/chart" uri="{C3380CC4-5D6E-409C-BE32-E72D297353CC}">
              <c16:uniqueId val="{00000000-16F3-494A-B571-C9457090953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[RECRUITMENT_DATA.xlsx]AVERAGE TIME TO HIRE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TIME TO HIRE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TIME TO HIRE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TIME TO HIRE ANALYSIS'!$A$4:$A$5</c:f>
              <c:strCache>
                <c:ptCount val="1"/>
                <c:pt idx="0">
                  <c:v>SUCCESSFULLY HIRED</c:v>
                </c:pt>
              </c:strCache>
            </c:strRef>
          </c:cat>
          <c:val>
            <c:numRef>
              <c:f>'AVERAGE TIME TO HIRE ANALYSIS'!$B$4:$B$5</c:f>
              <c:numCache>
                <c:formatCode>0.00</c:formatCode>
                <c:ptCount val="1"/>
                <c:pt idx="0">
                  <c:v>21.225000000000001</c:v>
                </c:pt>
              </c:numCache>
            </c:numRef>
          </c:val>
          <c:extLst>
            <c:ext xmlns:c16="http://schemas.microsoft.com/office/drawing/2014/chart" uri="{C3380CC4-5D6E-409C-BE32-E72D297353CC}">
              <c16:uniqueId val="{00000000-B62A-4582-87C1-D79AB6E9E2D2}"/>
            </c:ext>
          </c:extLst>
        </c:ser>
        <c:dLbls>
          <c:dLblPos val="outEnd"/>
          <c:showLegendKey val="0"/>
          <c:showVal val="1"/>
          <c:showCatName val="0"/>
          <c:showSerName val="0"/>
          <c:showPercent val="0"/>
          <c:showBubbleSize val="0"/>
        </c:dLbls>
        <c:gapWidth val="219"/>
        <c:overlap val="-27"/>
        <c:axId val="806514255"/>
        <c:axId val="806514735"/>
      </c:barChart>
      <c:catAx>
        <c:axId val="8065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14735"/>
        <c:crosses val="autoZero"/>
        <c:auto val="1"/>
        <c:lblAlgn val="ctr"/>
        <c:lblOffset val="100"/>
        <c:noMultiLvlLbl val="0"/>
      </c:catAx>
      <c:valAx>
        <c:axId val="806514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[RECRUITMENT_DATA.xlsx]SALARY GAP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SALARY GAP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0314960629923"/>
          <c:y val="0.24476633129192185"/>
          <c:w val="0.68749759405074362"/>
          <c:h val="0.59421733741615634"/>
        </c:manualLayout>
      </c:layout>
      <c:barChart>
        <c:barDir val="col"/>
        <c:grouping val="clustered"/>
        <c:varyColors val="0"/>
        <c:ser>
          <c:idx val="0"/>
          <c:order val="0"/>
          <c:tx>
            <c:strRef>
              <c:f>'SALARY GAP ANALYSIS'!$B$3</c:f>
              <c:strCache>
                <c:ptCount val="1"/>
                <c:pt idx="0">
                  <c:v>Total</c:v>
                </c:pt>
              </c:strCache>
            </c:strRef>
          </c:tx>
          <c:spPr>
            <a:solidFill>
              <a:schemeClr val="accent1"/>
            </a:solidFill>
            <a:ln>
              <a:noFill/>
            </a:ln>
            <a:effectLst/>
          </c:spPr>
          <c:invertIfNegative val="0"/>
          <c:cat>
            <c:strRef>
              <c:f>'SALARY GAP ANALYSIS'!$A$4:$A$5</c:f>
              <c:strCache>
                <c:ptCount val="1"/>
                <c:pt idx="0">
                  <c:v>SUCCESSFULLY HIRED</c:v>
                </c:pt>
              </c:strCache>
            </c:strRef>
          </c:cat>
          <c:val>
            <c:numRef>
              <c:f>'SALARY GAP ANALYSIS'!$B$4:$B$5</c:f>
              <c:numCache>
                <c:formatCode>"₹"\ #,##0.00</c:formatCode>
                <c:ptCount val="1"/>
                <c:pt idx="0">
                  <c:v>-31799.825000000001</c:v>
                </c:pt>
              </c:numCache>
            </c:numRef>
          </c:val>
          <c:extLst>
            <c:ext xmlns:c16="http://schemas.microsoft.com/office/drawing/2014/chart" uri="{C3380CC4-5D6E-409C-BE32-E72D297353CC}">
              <c16:uniqueId val="{00000000-CCB9-48AC-8CD4-898451BDF97F}"/>
            </c:ext>
          </c:extLst>
        </c:ser>
        <c:dLbls>
          <c:showLegendKey val="0"/>
          <c:showVal val="0"/>
          <c:showCatName val="0"/>
          <c:showSerName val="0"/>
          <c:showPercent val="0"/>
          <c:showBubbleSize val="0"/>
        </c:dLbls>
        <c:gapWidth val="219"/>
        <c:overlap val="-27"/>
        <c:axId val="954581567"/>
        <c:axId val="954583007"/>
      </c:barChart>
      <c:catAx>
        <c:axId val="9545815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83007"/>
        <c:crosses val="autoZero"/>
        <c:auto val="1"/>
        <c:lblAlgn val="ctr"/>
        <c:lblOffset val="100"/>
        <c:noMultiLvlLbl val="0"/>
      </c:catAx>
      <c:valAx>
        <c:axId val="954583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[RECRUITMENT_DATA.xlsx]RECRUITMENT FUNNEL DISTRIBUTION!PivotTable1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CANDIDATE</a:t>
            </a:r>
            <a:r>
              <a:rPr lang="en-IN" b="1" baseline="0">
                <a:solidFill>
                  <a:schemeClr val="tx1"/>
                </a:solidFill>
              </a:rPr>
              <a:t> PROGRESSION THROUGH RECRUITMENT STAGES</a:t>
            </a:r>
          </a:p>
          <a:p>
            <a:pPr>
              <a:defRPr/>
            </a:pPr>
            <a:endParaRPr lang="en-IN"/>
          </a:p>
        </c:rich>
      </c:tx>
      <c:layout>
        <c:manualLayout>
          <c:xMode val="edge"/>
          <c:yMode val="edge"/>
          <c:x val="0.21539566929133858"/>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'RECRUITMENT FUNNEL DISTRIBUTION'!$B$3</c:f>
              <c:strCache>
                <c:ptCount val="1"/>
                <c:pt idx="0">
                  <c:v>Total</c:v>
                </c:pt>
              </c:strCache>
            </c:strRef>
          </c:tx>
          <c:spPr>
            <a:solidFill>
              <a:schemeClr val="accent1"/>
            </a:solidFill>
            <a:ln>
              <a:noFill/>
            </a:ln>
            <a:effectLst/>
          </c:spPr>
          <c:invertIfNegative val="0"/>
          <c:cat>
            <c:strRef>
              <c:f>'RECRUITMENT FUNNEL DISTRIBUTION'!$A$4:$A$5</c:f>
              <c:strCache>
                <c:ptCount val="1"/>
                <c:pt idx="0">
                  <c:v>SUCCESSFULLY HIRED</c:v>
                </c:pt>
              </c:strCache>
            </c:strRef>
          </c:cat>
          <c:val>
            <c:numRef>
              <c:f>'RECRUITMENT FUNNEL DISTRIBUTION'!$B$4:$B$5</c:f>
              <c:numCache>
                <c:formatCode>General</c:formatCode>
                <c:ptCount val="1"/>
                <c:pt idx="0">
                  <c:v>40</c:v>
                </c:pt>
              </c:numCache>
            </c:numRef>
          </c:val>
          <c:extLst>
            <c:ext xmlns:c16="http://schemas.microsoft.com/office/drawing/2014/chart" uri="{C3380CC4-5D6E-409C-BE32-E72D297353CC}">
              <c16:uniqueId val="{00000000-2589-41F3-B458-BD6DE443C826}"/>
            </c:ext>
          </c:extLst>
        </c:ser>
        <c:dLbls>
          <c:showLegendKey val="0"/>
          <c:showVal val="0"/>
          <c:showCatName val="0"/>
          <c:showSerName val="0"/>
          <c:showPercent val="0"/>
          <c:showBubbleSize val="0"/>
        </c:dLbls>
        <c:gapWidth val="219"/>
        <c:overlap val="-27"/>
        <c:axId val="841098975"/>
        <c:axId val="841100415"/>
      </c:barChart>
      <c:catAx>
        <c:axId val="8410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0415"/>
        <c:crosses val="autoZero"/>
        <c:auto val="1"/>
        <c:lblAlgn val="ctr"/>
        <c:lblOffset val="100"/>
        <c:noMultiLvlLbl val="0"/>
      </c:catAx>
      <c:valAx>
        <c:axId val="84110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HIRING CONVERSION</a:t>
            </a:r>
            <a:r>
              <a:rPr lang="en-US" b="1" baseline="0">
                <a:solidFill>
                  <a:schemeClr val="tx1"/>
                </a:solidFill>
              </a:rPr>
              <a:t> RATE</a:t>
            </a:r>
            <a:endParaRPr lang="en-US" b="1">
              <a:solidFill>
                <a:schemeClr val="tx1"/>
              </a:solidFill>
            </a:endParaRPr>
          </a:p>
        </c:rich>
      </c:tx>
      <c:layout>
        <c:manualLayout>
          <c:xMode val="edge"/>
          <c:yMode val="edge"/>
          <c:x val="0.28414566929133861"/>
          <c:y val="6.4635272391505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'HIRING CONVERSION RATE'!$B$1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1-4C58-BE3D-310BB3CE2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1-4C58-BE3D-310BB3CE2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'HIRING CONVERSION RATE'!$A$2:$A$3</c:f>
              <c:strCache>
                <c:ptCount val="2"/>
                <c:pt idx="0">
                  <c:v>HIRED</c:v>
                </c:pt>
                <c:pt idx="1">
                  <c:v>NOT HIRED</c:v>
                </c:pt>
              </c:strCache>
            </c:strRef>
          </c:cat>
          <c:val>
            <c:numRef>
              <c:f>'HIRING CONVERSION RATE'!$B$2:$B$3</c:f>
              <c:numCache>
                <c:formatCode>General</c:formatCode>
                <c:ptCount val="2"/>
                <c:pt idx="0">
                  <c:v>40</c:v>
                </c:pt>
                <c:pt idx="1">
                  <c:v>156</c:v>
                </c:pt>
              </c:numCache>
            </c:numRef>
          </c:val>
          <c:extLst>
            <c:ext xmlns:c16="http://schemas.microsoft.com/office/drawing/2014/chart" uri="{C3380CC4-5D6E-409C-BE32-E72D297353CC}">
              <c16:uniqueId val="{00000004-5171-4C58-BE3D-310BB3CE2D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[RECRUITMENT_DATA.xlsx]AVERAGE TIME TO HIRE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TIME TO HIRE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TIME TO HIRE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TIME TO HIRE ANALYSIS'!$A$4:$A$5</c:f>
              <c:strCache>
                <c:ptCount val="1"/>
                <c:pt idx="0">
                  <c:v>SUCCESSFULLY HIRED</c:v>
                </c:pt>
              </c:strCache>
            </c:strRef>
          </c:cat>
          <c:val>
            <c:numRef>
              <c:f>'AVERAGE TIME TO HIRE ANALYSIS'!$B$4:$B$5</c:f>
              <c:numCache>
                <c:formatCode>0.00</c:formatCode>
                <c:ptCount val="1"/>
                <c:pt idx="0">
                  <c:v>21.225000000000001</c:v>
                </c:pt>
              </c:numCache>
            </c:numRef>
          </c:val>
          <c:extLst>
            <c:ext xmlns:c16="http://schemas.microsoft.com/office/drawing/2014/chart" uri="{C3380CC4-5D6E-409C-BE32-E72D297353CC}">
              <c16:uniqueId val="{00000000-6D61-46A0-B18E-5405EF8ABF05}"/>
            </c:ext>
          </c:extLst>
        </c:ser>
        <c:dLbls>
          <c:dLblPos val="outEnd"/>
          <c:showLegendKey val="0"/>
          <c:showVal val="1"/>
          <c:showCatName val="0"/>
          <c:showSerName val="0"/>
          <c:showPercent val="0"/>
          <c:showBubbleSize val="0"/>
        </c:dLbls>
        <c:gapWidth val="219"/>
        <c:overlap val="-27"/>
        <c:axId val="806514255"/>
        <c:axId val="806514735"/>
      </c:barChart>
      <c:catAx>
        <c:axId val="8065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14735"/>
        <c:crosses val="autoZero"/>
        <c:auto val="1"/>
        <c:lblAlgn val="ctr"/>
        <c:lblOffset val="100"/>
        <c:noMultiLvlLbl val="0"/>
      </c:catAx>
      <c:valAx>
        <c:axId val="806514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51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[RECRUITMENT_DATA.xlsx]SALARY GAP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SALARY GAP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0314960629923"/>
          <c:y val="0.24476633129192185"/>
          <c:w val="0.68749759405074362"/>
          <c:h val="0.59421733741615634"/>
        </c:manualLayout>
      </c:layout>
      <c:barChart>
        <c:barDir val="col"/>
        <c:grouping val="clustered"/>
        <c:varyColors val="0"/>
        <c:ser>
          <c:idx val="0"/>
          <c:order val="0"/>
          <c:tx>
            <c:strRef>
              <c:f>'SALARY GAP ANALYSIS'!$B$3</c:f>
              <c:strCache>
                <c:ptCount val="1"/>
                <c:pt idx="0">
                  <c:v>Total</c:v>
                </c:pt>
              </c:strCache>
            </c:strRef>
          </c:tx>
          <c:spPr>
            <a:solidFill>
              <a:schemeClr val="accent1"/>
            </a:solidFill>
            <a:ln>
              <a:noFill/>
            </a:ln>
            <a:effectLst/>
          </c:spPr>
          <c:invertIfNegative val="0"/>
          <c:cat>
            <c:strRef>
              <c:f>'SALARY GAP ANALYSIS'!$A$4:$A$5</c:f>
              <c:strCache>
                <c:ptCount val="1"/>
                <c:pt idx="0">
                  <c:v>SUCCESSFULLY HIRED</c:v>
                </c:pt>
              </c:strCache>
            </c:strRef>
          </c:cat>
          <c:val>
            <c:numRef>
              <c:f>'SALARY GAP ANALYSIS'!$B$4:$B$5</c:f>
              <c:numCache>
                <c:formatCode>"₹"\ #,##0.00</c:formatCode>
                <c:ptCount val="1"/>
                <c:pt idx="0">
                  <c:v>-31799.825000000001</c:v>
                </c:pt>
              </c:numCache>
            </c:numRef>
          </c:val>
          <c:extLst>
            <c:ext xmlns:c16="http://schemas.microsoft.com/office/drawing/2014/chart" uri="{C3380CC4-5D6E-409C-BE32-E72D297353CC}">
              <c16:uniqueId val="{00000000-6A39-4DFB-AE74-38CA6373E95B}"/>
            </c:ext>
          </c:extLst>
        </c:ser>
        <c:dLbls>
          <c:showLegendKey val="0"/>
          <c:showVal val="0"/>
          <c:showCatName val="0"/>
          <c:showSerName val="0"/>
          <c:showPercent val="0"/>
          <c:showBubbleSize val="0"/>
        </c:dLbls>
        <c:gapWidth val="219"/>
        <c:overlap val="-27"/>
        <c:axId val="954581567"/>
        <c:axId val="954583007"/>
      </c:barChart>
      <c:catAx>
        <c:axId val="95458156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83007"/>
        <c:crosses val="autoZero"/>
        <c:auto val="1"/>
        <c:lblAlgn val="ctr"/>
        <c:lblOffset val="100"/>
        <c:noMultiLvlLbl val="0"/>
      </c:catAx>
      <c:valAx>
        <c:axId val="954583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solidFill>
                  <a:schemeClr val="tx1"/>
                </a:solidFill>
              </a:rPr>
              <a:t>HIRING SUCCESS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'HIRING SUCCESS RATIO'!$B$1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AC0-43A2-8B3E-8B63A95B60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AC0-43A2-8B3E-8B63A95B60B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'HIRING SUCCESS RATIO'!$A$2:$A$3</c:f>
              <c:strCache>
                <c:ptCount val="2"/>
                <c:pt idx="0">
                  <c:v>HIRED</c:v>
                </c:pt>
                <c:pt idx="1">
                  <c:v>NOT HIRED</c:v>
                </c:pt>
              </c:strCache>
            </c:strRef>
          </c:cat>
          <c:val>
            <c:numRef>
              <c:f>'HIRING SUCCESS RATIO'!$B$2:$B$3</c:f>
              <c:numCache>
                <c:formatCode>General</c:formatCode>
                <c:ptCount val="2"/>
                <c:pt idx="0">
                  <c:v>40</c:v>
                </c:pt>
                <c:pt idx="1">
                  <c:v>156</c:v>
                </c:pt>
              </c:numCache>
            </c:numRef>
          </c:val>
          <c:extLst>
            <c:ext xmlns:c16="http://schemas.microsoft.com/office/drawing/2014/chart" uri="{C3380CC4-5D6E-409C-BE32-E72D297353CC}">
              <c16:uniqueId val="{00000004-1AC0-43A2-8B3E-8B63A95B60B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TIME TO HIRE(DAYS)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Franklin Gothic Book" panose="020B0503020102020204"/>
            </a:rPr>
            <a:t>DISTRIBUTION OF TIME TO HIRE(DAYS)</a:t>
          </a:r>
        </a:p>
      </cx:txPr>
    </cx:title>
    <cx:plotArea>
      <cx:plotAreaRegion>
        <cx:series layoutId="clusteredColumn" uniqueId="{97E75435-25BF-4446-91F1-889EEDE8234E}">
          <cx:dataLabels>
            <cx:visibility seriesName="0" categoryName="0" value="1"/>
          </cx:dataLabels>
          <cx:dataId val="0"/>
          <cx:layoutPr>
            <cx:binning intervalClosed="r">
              <cx:binSize val="5"/>
            </cx:binning>
          </cx:layoutPr>
        </cx:series>
      </cx:plotAreaRegion>
      <cx:axis id="0">
        <cx:catScaling gapWidth="0"/>
        <cx:tickLabels/>
      </cx:axis>
      <cx:axis id="1">
        <cx:valScaling/>
        <cx:majorGridlines/>
        <cx:tickLabels/>
      </cx:axis>
    </cx:plotArea>
  </cx:chart>
  <cx:spPr>
    <a:solidFill>
      <a:schemeClr val="accent5">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TIME TO HIRE(DAYS)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Franklin Gothic Book" panose="020B0503020102020204"/>
            </a:rPr>
            <a:t>DISTRIBUTION OF TIME TO HIRE(DAYS)</a:t>
          </a:r>
        </a:p>
      </cx:txPr>
    </cx:title>
    <cx:plotArea>
      <cx:plotAreaRegion>
        <cx:series layoutId="clusteredColumn" uniqueId="{97E75435-25BF-4446-91F1-889EEDE8234E}">
          <cx:dataLabels>
            <cx:visibility seriesName="0" categoryName="0" value="1"/>
          </cx:dataLabels>
          <cx:dataId val="0"/>
          <cx:layoutPr>
            <cx:binning intervalClosed="r">
              <cx:binSize val="5"/>
            </cx:binning>
          </cx:layoutPr>
        </cx:series>
      </cx:plotAreaRegion>
      <cx:axis id="0">
        <cx:catScaling gapWidth="0"/>
        <cx:tickLabels/>
      </cx:axis>
      <cx:axis id="1">
        <cx:valScaling/>
        <cx:majorGridlines/>
        <cx:tickLabels/>
      </cx:axis>
    </cx:plotArea>
  </cx:chart>
  <cx:spPr>
    <a:solidFill>
      <a:schemeClr val="accent5">
        <a:lumMod val="40000"/>
        <a:lumOff val="60000"/>
      </a:schemeClr>
    </a:solidFill>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18</xdr:col>
      <xdr:colOff>932688</xdr:colOff>
      <xdr:row>181</xdr:row>
      <xdr:rowOff>79248</xdr:rowOff>
    </xdr:from>
    <xdr:to>
      <xdr:col>21</xdr:col>
      <xdr:colOff>969264</xdr:colOff>
      <xdr:row>195</xdr:row>
      <xdr:rowOff>176784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C2BA7A4-7C03-BD95-157C-26731135A2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549348" y="34369248"/>
              <a:ext cx="5583936" cy="27645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3</xdr:row>
      <xdr:rowOff>125730</xdr:rowOff>
    </xdr:from>
    <xdr:to>
      <xdr:col>11</xdr:col>
      <xdr:colOff>167640</xdr:colOff>
      <xdr:row>18</xdr:row>
      <xdr:rowOff>125730</xdr:rowOff>
    </xdr:to>
    <xdr:graphicFrame macro="">
      <xdr:nvGraphicFramePr>
        <xdr:cNvPr id="2" name="Chart 1">
          <a:extLst>
            <a:ext uri="{FF2B5EF4-FFF2-40B4-BE49-F238E27FC236}">
              <a16:creationId xmlns:a16="http://schemas.microsoft.com/office/drawing/2014/main" id="{E9BF853F-9C68-36D9-0B89-F9FE43C22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541020</xdr:colOff>
      <xdr:row>2</xdr:row>
      <xdr:rowOff>22860</xdr:rowOff>
    </xdr:from>
    <xdr:to>
      <xdr:col>14</xdr:col>
      <xdr:colOff>541020</xdr:colOff>
      <xdr:row>15</xdr:row>
      <xdr:rowOff>112395</xdr:rowOff>
    </xdr:to>
    <mc:AlternateContent xmlns:mc="http://schemas.openxmlformats.org/markup-compatibility/2006" xmlns:a14="http://schemas.microsoft.com/office/drawing/2010/main">
      <mc:Choice Requires="a14">
        <xdr:graphicFrame macro="">
          <xdr:nvGraphicFramePr>
            <xdr:cNvPr id="3" name="DROP_OFF_STAGE">
              <a:extLst>
                <a:ext uri="{FF2B5EF4-FFF2-40B4-BE49-F238E27FC236}">
                  <a16:creationId xmlns:a16="http://schemas.microsoft.com/office/drawing/2014/main" id="{E2597CD9-0B2D-E6FA-3D4D-EDBC51A48A77}"/>
                </a:ext>
              </a:extLst>
            </xdr:cNvPr>
            <xdr:cNvGraphicFramePr/>
          </xdr:nvGraphicFramePr>
          <xdr:xfrm>
            <a:off x="0" y="0"/>
            <a:ext cx="0" cy="0"/>
          </xdr:xfrm>
          <a:graphic>
            <a:graphicData uri="http://schemas.microsoft.com/office/drawing/2010/slicer">
              <sle:slicer xmlns:sle="http://schemas.microsoft.com/office/drawing/2010/slicer" name="DROP_OFF_STAGE"/>
            </a:graphicData>
          </a:graphic>
        </xdr:graphicFrame>
      </mc:Choice>
      <mc:Fallback xmlns="">
        <xdr:sp macro="" textlink="">
          <xdr:nvSpPr>
            <xdr:cNvPr id="0" name=""/>
            <xdr:cNvSpPr>
              <a:spLocks noTextEdit="1"/>
            </xdr:cNvSpPr>
          </xdr:nvSpPr>
          <xdr:spPr>
            <a:xfrm>
              <a:off x="903732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3</xdr:row>
      <xdr:rowOff>163830</xdr:rowOff>
    </xdr:from>
    <xdr:to>
      <xdr:col>11</xdr:col>
      <xdr:colOff>457200</xdr:colOff>
      <xdr:row>18</xdr:row>
      <xdr:rowOff>163830</xdr:rowOff>
    </xdr:to>
    <xdr:graphicFrame macro="">
      <xdr:nvGraphicFramePr>
        <xdr:cNvPr id="2" name="Chart 1">
          <a:extLst>
            <a:ext uri="{FF2B5EF4-FFF2-40B4-BE49-F238E27FC236}">
              <a16:creationId xmlns:a16="http://schemas.microsoft.com/office/drawing/2014/main" id="{45B60EAE-0DC9-5E7C-D711-785B9B80C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129540</xdr:colOff>
      <xdr:row>4</xdr:row>
      <xdr:rowOff>80010</xdr:rowOff>
    </xdr:from>
    <xdr:to>
      <xdr:col>12</xdr:col>
      <xdr:colOff>434340</xdr:colOff>
      <xdr:row>19</xdr:row>
      <xdr:rowOff>80010</xdr:rowOff>
    </xdr:to>
    <xdr:graphicFrame macro="">
      <xdr:nvGraphicFramePr>
        <xdr:cNvPr id="2" name="Chart 1">
          <a:extLst>
            <a:ext uri="{FF2B5EF4-FFF2-40B4-BE49-F238E27FC236}">
              <a16:creationId xmlns:a16="http://schemas.microsoft.com/office/drawing/2014/main" id="{A6BAE8F9-41E5-E5BF-87DE-B93092E04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4</xdr:row>
      <xdr:rowOff>57150</xdr:rowOff>
    </xdr:from>
    <xdr:to>
      <xdr:col>13</xdr:col>
      <xdr:colOff>297180</xdr:colOff>
      <xdr:row>19</xdr:row>
      <xdr:rowOff>57150</xdr:rowOff>
    </xdr:to>
    <xdr:graphicFrame macro="">
      <xdr:nvGraphicFramePr>
        <xdr:cNvPr id="2" name="Chart 1">
          <a:extLst>
            <a:ext uri="{FF2B5EF4-FFF2-40B4-BE49-F238E27FC236}">
              <a16:creationId xmlns:a16="http://schemas.microsoft.com/office/drawing/2014/main" id="{93210E6D-C4F8-CE22-E073-B2F0A0A18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198120</xdr:colOff>
      <xdr:row>4</xdr:row>
      <xdr:rowOff>80010</xdr:rowOff>
    </xdr:from>
    <xdr:to>
      <xdr:col>12</xdr:col>
      <xdr:colOff>365760</xdr:colOff>
      <xdr:row>19</xdr:row>
      <xdr:rowOff>80010</xdr:rowOff>
    </xdr:to>
    <xdr:graphicFrame macro="">
      <xdr:nvGraphicFramePr>
        <xdr:cNvPr id="3" name="Chart 2">
          <a:extLst>
            <a:ext uri="{FF2B5EF4-FFF2-40B4-BE49-F238E27FC236}">
              <a16:creationId xmlns:a16="http://schemas.microsoft.com/office/drawing/2014/main" id="{59E8079B-235B-73A8-0245-351DA3739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0</xdr:row>
      <xdr:rowOff>205740</xdr:rowOff>
    </xdr:from>
    <xdr:to>
      <xdr:col>3</xdr:col>
      <xdr:colOff>15240</xdr:colOff>
      <xdr:row>5</xdr:row>
      <xdr:rowOff>60960</xdr:rowOff>
    </xdr:to>
    <xdr:grpSp>
      <xdr:nvGrpSpPr>
        <xdr:cNvPr id="10" name="Group 9">
          <a:extLst>
            <a:ext uri="{FF2B5EF4-FFF2-40B4-BE49-F238E27FC236}">
              <a16:creationId xmlns:a16="http://schemas.microsoft.com/office/drawing/2014/main" id="{64475C61-A586-B901-290A-721E47162241}"/>
            </a:ext>
          </a:extLst>
        </xdr:cNvPr>
        <xdr:cNvGrpSpPr/>
      </xdr:nvGrpSpPr>
      <xdr:grpSpPr>
        <a:xfrm>
          <a:off x="114300" y="205740"/>
          <a:ext cx="2155190" cy="1220470"/>
          <a:chOff x="114300" y="205740"/>
          <a:chExt cx="2278380" cy="1188720"/>
        </a:xfrm>
      </xdr:grpSpPr>
      <xdr:sp macro="" textlink="">
        <xdr:nvSpPr>
          <xdr:cNvPr id="2" name="Rectangle 1">
            <a:extLst>
              <a:ext uri="{FF2B5EF4-FFF2-40B4-BE49-F238E27FC236}">
                <a16:creationId xmlns:a16="http://schemas.microsoft.com/office/drawing/2014/main" id="{B2973D8D-A7E4-E3F6-86FA-2F190AC9EFD4}"/>
              </a:ext>
            </a:extLst>
          </xdr:cNvPr>
          <xdr:cNvSpPr/>
        </xdr:nvSpPr>
        <xdr:spPr>
          <a:xfrm>
            <a:off x="114300" y="205740"/>
            <a:ext cx="2278380" cy="1188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CANDIDATES</a:t>
            </a:r>
          </a:p>
        </xdr:txBody>
      </xdr:sp>
      <xdr:sp macro="" textlink="">
        <xdr:nvSpPr>
          <xdr:cNvPr id="6" name="Oval 5">
            <a:extLst>
              <a:ext uri="{FF2B5EF4-FFF2-40B4-BE49-F238E27FC236}">
                <a16:creationId xmlns:a16="http://schemas.microsoft.com/office/drawing/2014/main" id="{3602CFE6-BDFD-DF76-025D-841C7CC5A68A}"/>
              </a:ext>
            </a:extLst>
          </xdr:cNvPr>
          <xdr:cNvSpPr/>
        </xdr:nvSpPr>
        <xdr:spPr>
          <a:xfrm>
            <a:off x="574611" y="741169"/>
            <a:ext cx="1363980" cy="6324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196</a:t>
            </a:r>
          </a:p>
        </xdr:txBody>
      </xdr:sp>
    </xdr:grpSp>
    <xdr:clientData/>
  </xdr:twoCellAnchor>
  <xdr:twoCellAnchor>
    <xdr:from>
      <xdr:col>0</xdr:col>
      <xdr:colOff>114300</xdr:colOff>
      <xdr:row>5</xdr:row>
      <xdr:rowOff>129540</xdr:rowOff>
    </xdr:from>
    <xdr:to>
      <xdr:col>3</xdr:col>
      <xdr:colOff>30480</xdr:colOff>
      <xdr:row>12</xdr:row>
      <xdr:rowOff>38100</xdr:rowOff>
    </xdr:to>
    <xdr:grpSp>
      <xdr:nvGrpSpPr>
        <xdr:cNvPr id="11" name="Group 10">
          <a:extLst>
            <a:ext uri="{FF2B5EF4-FFF2-40B4-BE49-F238E27FC236}">
              <a16:creationId xmlns:a16="http://schemas.microsoft.com/office/drawing/2014/main" id="{83186AE0-0A57-2359-2844-301E031157E2}"/>
            </a:ext>
          </a:extLst>
        </xdr:cNvPr>
        <xdr:cNvGrpSpPr/>
      </xdr:nvGrpSpPr>
      <xdr:grpSpPr>
        <a:xfrm>
          <a:off x="114300" y="1494790"/>
          <a:ext cx="2170430" cy="1242060"/>
          <a:chOff x="114300" y="1463040"/>
          <a:chExt cx="2278380" cy="1188720"/>
        </a:xfrm>
      </xdr:grpSpPr>
      <xdr:sp macro="" textlink="">
        <xdr:nvSpPr>
          <xdr:cNvPr id="3" name="Rectangle 2">
            <a:extLst>
              <a:ext uri="{FF2B5EF4-FFF2-40B4-BE49-F238E27FC236}">
                <a16:creationId xmlns:a16="http://schemas.microsoft.com/office/drawing/2014/main" id="{77D3D693-3C99-48B8-AE1F-D9E2E7BDA984}"/>
              </a:ext>
            </a:extLst>
          </xdr:cNvPr>
          <xdr:cNvSpPr/>
        </xdr:nvSpPr>
        <xdr:spPr>
          <a:xfrm>
            <a:off x="114300" y="1463040"/>
            <a:ext cx="2278380" cy="1188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SUCCESSFULLY</a:t>
            </a:r>
            <a:r>
              <a:rPr lang="en-IN" sz="1400" b="1" baseline="0">
                <a:solidFill>
                  <a:schemeClr val="tx1"/>
                </a:solidFill>
              </a:rPr>
              <a:t> HIRED</a:t>
            </a:r>
            <a:endParaRPr lang="en-IN" sz="1400" b="1">
              <a:solidFill>
                <a:schemeClr val="tx1"/>
              </a:solidFill>
            </a:endParaRPr>
          </a:p>
        </xdr:txBody>
      </xdr:sp>
      <xdr:sp macro="" textlink="">
        <xdr:nvSpPr>
          <xdr:cNvPr id="7" name="Oval 6">
            <a:extLst>
              <a:ext uri="{FF2B5EF4-FFF2-40B4-BE49-F238E27FC236}">
                <a16:creationId xmlns:a16="http://schemas.microsoft.com/office/drawing/2014/main" id="{87480890-AFFD-4797-93A4-8F8FFA13F7CF}"/>
              </a:ext>
            </a:extLst>
          </xdr:cNvPr>
          <xdr:cNvSpPr/>
        </xdr:nvSpPr>
        <xdr:spPr>
          <a:xfrm>
            <a:off x="533400" y="2011680"/>
            <a:ext cx="1363980" cy="6324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40</a:t>
            </a:r>
          </a:p>
        </xdr:txBody>
      </xdr:sp>
    </xdr:grpSp>
    <xdr:clientData/>
  </xdr:twoCellAnchor>
  <xdr:twoCellAnchor>
    <xdr:from>
      <xdr:col>0</xdr:col>
      <xdr:colOff>114300</xdr:colOff>
      <xdr:row>12</xdr:row>
      <xdr:rowOff>129540</xdr:rowOff>
    </xdr:from>
    <xdr:to>
      <xdr:col>3</xdr:col>
      <xdr:colOff>38100</xdr:colOff>
      <xdr:row>19</xdr:row>
      <xdr:rowOff>38100</xdr:rowOff>
    </xdr:to>
    <xdr:grpSp>
      <xdr:nvGrpSpPr>
        <xdr:cNvPr id="12" name="Group 11">
          <a:extLst>
            <a:ext uri="{FF2B5EF4-FFF2-40B4-BE49-F238E27FC236}">
              <a16:creationId xmlns:a16="http://schemas.microsoft.com/office/drawing/2014/main" id="{4BADA111-8208-9739-2313-827FBA486513}"/>
            </a:ext>
          </a:extLst>
        </xdr:cNvPr>
        <xdr:cNvGrpSpPr/>
      </xdr:nvGrpSpPr>
      <xdr:grpSpPr>
        <a:xfrm>
          <a:off x="114300" y="2828290"/>
          <a:ext cx="2178050" cy="1242060"/>
          <a:chOff x="114300" y="2743200"/>
          <a:chExt cx="2278380" cy="1188720"/>
        </a:xfrm>
      </xdr:grpSpPr>
      <xdr:sp macro="" textlink="">
        <xdr:nvSpPr>
          <xdr:cNvPr id="4" name="Rectangle 3">
            <a:extLst>
              <a:ext uri="{FF2B5EF4-FFF2-40B4-BE49-F238E27FC236}">
                <a16:creationId xmlns:a16="http://schemas.microsoft.com/office/drawing/2014/main" id="{3A21CF82-8BEA-4718-826D-BD1A6B2D2F8D}"/>
              </a:ext>
            </a:extLst>
          </xdr:cNvPr>
          <xdr:cNvSpPr/>
        </xdr:nvSpPr>
        <xdr:spPr>
          <a:xfrm>
            <a:off x="114300" y="2743200"/>
            <a:ext cx="2278380" cy="1188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HIRING RATE</a:t>
            </a:r>
          </a:p>
        </xdr:txBody>
      </xdr:sp>
      <xdr:sp macro="" textlink="">
        <xdr:nvSpPr>
          <xdr:cNvPr id="8" name="Oval 7">
            <a:extLst>
              <a:ext uri="{FF2B5EF4-FFF2-40B4-BE49-F238E27FC236}">
                <a16:creationId xmlns:a16="http://schemas.microsoft.com/office/drawing/2014/main" id="{AC0EB18A-D5CF-4592-98BF-1BCB5A4AA92B}"/>
              </a:ext>
            </a:extLst>
          </xdr:cNvPr>
          <xdr:cNvSpPr/>
        </xdr:nvSpPr>
        <xdr:spPr>
          <a:xfrm>
            <a:off x="533400" y="3299460"/>
            <a:ext cx="1363980" cy="6324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20.4%</a:t>
            </a:r>
          </a:p>
        </xdr:txBody>
      </xdr:sp>
    </xdr:grpSp>
    <xdr:clientData/>
  </xdr:twoCellAnchor>
  <xdr:twoCellAnchor>
    <xdr:from>
      <xdr:col>0</xdr:col>
      <xdr:colOff>121920</xdr:colOff>
      <xdr:row>19</xdr:row>
      <xdr:rowOff>137160</xdr:rowOff>
    </xdr:from>
    <xdr:to>
      <xdr:col>3</xdr:col>
      <xdr:colOff>53340</xdr:colOff>
      <xdr:row>26</xdr:row>
      <xdr:rowOff>48888</xdr:rowOff>
    </xdr:to>
    <xdr:grpSp>
      <xdr:nvGrpSpPr>
        <xdr:cNvPr id="13" name="Group 12">
          <a:extLst>
            <a:ext uri="{FF2B5EF4-FFF2-40B4-BE49-F238E27FC236}">
              <a16:creationId xmlns:a16="http://schemas.microsoft.com/office/drawing/2014/main" id="{1230169E-C23D-42F3-53CA-D866E651E9C0}"/>
            </a:ext>
          </a:extLst>
        </xdr:cNvPr>
        <xdr:cNvGrpSpPr/>
      </xdr:nvGrpSpPr>
      <xdr:grpSpPr>
        <a:xfrm>
          <a:off x="121920" y="4169410"/>
          <a:ext cx="2185670" cy="1245228"/>
          <a:chOff x="121920" y="4030980"/>
          <a:chExt cx="2278380" cy="1191848"/>
        </a:xfrm>
      </xdr:grpSpPr>
      <xdr:sp macro="" textlink="">
        <xdr:nvSpPr>
          <xdr:cNvPr id="5" name="Rectangle 4">
            <a:extLst>
              <a:ext uri="{FF2B5EF4-FFF2-40B4-BE49-F238E27FC236}">
                <a16:creationId xmlns:a16="http://schemas.microsoft.com/office/drawing/2014/main" id="{909770AE-FC0C-4F01-A9A1-64C55C07C34B}"/>
              </a:ext>
            </a:extLst>
          </xdr:cNvPr>
          <xdr:cNvSpPr/>
        </xdr:nvSpPr>
        <xdr:spPr>
          <a:xfrm>
            <a:off x="121920" y="4030980"/>
            <a:ext cx="2278380" cy="1188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TIME TO HIRE </a:t>
            </a:r>
          </a:p>
        </xdr:txBody>
      </xdr:sp>
      <xdr:sp macro="" textlink="">
        <xdr:nvSpPr>
          <xdr:cNvPr id="9" name="Oval 8">
            <a:extLst>
              <a:ext uri="{FF2B5EF4-FFF2-40B4-BE49-F238E27FC236}">
                <a16:creationId xmlns:a16="http://schemas.microsoft.com/office/drawing/2014/main" id="{CB90C515-7510-49A1-87AE-E00754F1AD0A}"/>
              </a:ext>
            </a:extLst>
          </xdr:cNvPr>
          <xdr:cNvSpPr/>
        </xdr:nvSpPr>
        <xdr:spPr>
          <a:xfrm>
            <a:off x="589761" y="4590368"/>
            <a:ext cx="1363980" cy="6324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21</a:t>
            </a:r>
          </a:p>
        </xdr:txBody>
      </xdr:sp>
    </xdr:grpSp>
    <xdr:clientData/>
  </xdr:twoCellAnchor>
  <xdr:twoCellAnchor>
    <xdr:from>
      <xdr:col>3</xdr:col>
      <xdr:colOff>144780</xdr:colOff>
      <xdr:row>1</xdr:row>
      <xdr:rowOff>53340</xdr:rowOff>
    </xdr:from>
    <xdr:to>
      <xdr:col>10</xdr:col>
      <xdr:colOff>449580</xdr:colOff>
      <xdr:row>16</xdr:row>
      <xdr:rowOff>53340</xdr:rowOff>
    </xdr:to>
    <xdr:graphicFrame macro="">
      <xdr:nvGraphicFramePr>
        <xdr:cNvPr id="14" name="Chart 13">
          <a:extLst>
            <a:ext uri="{FF2B5EF4-FFF2-40B4-BE49-F238E27FC236}">
              <a16:creationId xmlns:a16="http://schemas.microsoft.com/office/drawing/2014/main" id="{B24C8BB5-BE93-43BA-AF50-D78E17F0D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601980</xdr:colOff>
      <xdr:row>1</xdr:row>
      <xdr:rowOff>30480</xdr:rowOff>
    </xdr:from>
    <xdr:to>
      <xdr:col>18</xdr:col>
      <xdr:colOff>297180</xdr:colOff>
      <xdr:row>16</xdr:row>
      <xdr:rowOff>38100</xdr:rowOff>
    </xdr:to>
    <xdr:graphicFrame macro="">
      <xdr:nvGraphicFramePr>
        <xdr:cNvPr id="15" name="Chart 14">
          <a:extLst>
            <a:ext uri="{FF2B5EF4-FFF2-40B4-BE49-F238E27FC236}">
              <a16:creationId xmlns:a16="http://schemas.microsoft.com/office/drawing/2014/main" id="{5D40062B-5AFA-459F-8845-B5EB37BC6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129540</xdr:colOff>
      <xdr:row>17</xdr:row>
      <xdr:rowOff>22860</xdr:rowOff>
    </xdr:from>
    <xdr:to>
      <xdr:col>10</xdr:col>
      <xdr:colOff>495300</xdr:colOff>
      <xdr:row>32</xdr:row>
      <xdr:rowOff>22860</xdr:rowOff>
    </xdr:to>
    <xdr:graphicFrame macro="">
      <xdr:nvGraphicFramePr>
        <xdr:cNvPr id="16" name="Chart 15">
          <a:extLst>
            <a:ext uri="{FF2B5EF4-FFF2-40B4-BE49-F238E27FC236}">
              <a16:creationId xmlns:a16="http://schemas.microsoft.com/office/drawing/2014/main" id="{80811C5B-F08F-4AC8-B3FF-3E8379772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xdr:colOff>
      <xdr:row>17</xdr:row>
      <xdr:rowOff>22860</xdr:rowOff>
    </xdr:from>
    <xdr:to>
      <xdr:col>18</xdr:col>
      <xdr:colOff>342900</xdr:colOff>
      <xdr:row>32</xdr:row>
      <xdr:rowOff>22860</xdr:rowOff>
    </xdr:to>
    <xdr:graphicFrame macro="">
      <xdr:nvGraphicFramePr>
        <xdr:cNvPr id="17" name="Chart 16">
          <a:extLst>
            <a:ext uri="{FF2B5EF4-FFF2-40B4-BE49-F238E27FC236}">
              <a16:creationId xmlns:a16="http://schemas.microsoft.com/office/drawing/2014/main" id="{FC4E26D2-253B-4815-9265-A78A5F6B0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441960</xdr:colOff>
      <xdr:row>1</xdr:row>
      <xdr:rowOff>15240</xdr:rowOff>
    </xdr:from>
    <xdr:to>
      <xdr:col>26</xdr:col>
      <xdr:colOff>137160</xdr:colOff>
      <xdr:row>16</xdr:row>
      <xdr:rowOff>15240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85335C78-2666-48DB-AD2A-F92D231AC9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883640" y="617220"/>
              <a:ext cx="566928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457200</xdr:colOff>
      <xdr:row>17</xdr:row>
      <xdr:rowOff>30480</xdr:rowOff>
    </xdr:from>
    <xdr:to>
      <xdr:col>26</xdr:col>
      <xdr:colOff>152400</xdr:colOff>
      <xdr:row>32</xdr:row>
      <xdr:rowOff>30480</xdr:rowOff>
    </xdr:to>
    <xdr:graphicFrame macro="">
      <xdr:nvGraphicFramePr>
        <xdr:cNvPr id="19" name="Chart 18">
          <a:extLst>
            <a:ext uri="{FF2B5EF4-FFF2-40B4-BE49-F238E27FC236}">
              <a16:creationId xmlns:a16="http://schemas.microsoft.com/office/drawing/2014/main" id="{C03D386E-8BB4-4D44-BB63-EC6BC3748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27</xdr:row>
      <xdr:rowOff>54429</xdr:rowOff>
    </xdr:from>
    <xdr:to>
      <xdr:col>3</xdr:col>
      <xdr:colOff>76200</xdr:colOff>
      <xdr:row>40</xdr:row>
      <xdr:rowOff>115661</xdr:rowOff>
    </xdr:to>
    <mc:AlternateContent xmlns:mc="http://schemas.openxmlformats.org/markup-compatibility/2006" xmlns:a14="http://schemas.microsoft.com/office/drawing/2010/main">
      <mc:Choice Requires="a14">
        <xdr:graphicFrame macro="">
          <xdr:nvGraphicFramePr>
            <xdr:cNvPr id="36" name="DROP_OFF_STAGE 1">
              <a:extLst>
                <a:ext uri="{FF2B5EF4-FFF2-40B4-BE49-F238E27FC236}">
                  <a16:creationId xmlns:a16="http://schemas.microsoft.com/office/drawing/2014/main" id="{B4A94FFD-B765-4548-91A0-8C3E585846E6}"/>
                </a:ext>
              </a:extLst>
            </xdr:cNvPr>
            <xdr:cNvGraphicFramePr/>
          </xdr:nvGraphicFramePr>
          <xdr:xfrm>
            <a:off x="0" y="0"/>
            <a:ext cx="0" cy="0"/>
          </xdr:xfrm>
          <a:graphic>
            <a:graphicData uri="http://schemas.microsoft.com/office/drawing/2010/slicer">
              <sle:slicer xmlns:sle="http://schemas.microsoft.com/office/drawing/2010/slicer" name="DROP_OFF_STAGE 1"/>
            </a:graphicData>
          </a:graphic>
        </xdr:graphicFrame>
      </mc:Choice>
      <mc:Fallback xmlns="">
        <xdr:sp macro="" textlink="">
          <xdr:nvSpPr>
            <xdr:cNvPr id="0" name=""/>
            <xdr:cNvSpPr>
              <a:spLocks noTextEdit="1"/>
            </xdr:cNvSpPr>
          </xdr:nvSpPr>
          <xdr:spPr>
            <a:xfrm>
              <a:off x="76200" y="5440981"/>
              <a:ext cx="1839310" cy="2452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Vishwakarma" refreshedDate="46090.657937847223" createdVersion="8" refreshedVersion="8" minRefreshableVersion="3" recordCount="197" xr:uid="{9A9A2626-FDF9-4567-8847-B3CEC8D2F1E7}">
  <cacheSource type="worksheet">
    <worksheetSource name="Table1"/>
  </cacheSource>
  <cacheFields count="18">
    <cacheField name="CANDIDATE _ID" numFmtId="0">
      <sharedItems containsBlank="1"/>
    </cacheField>
    <cacheField name="CANDIDATE_NAME" numFmtId="0">
      <sharedItems/>
    </cacheField>
    <cacheField name="GENDER" numFmtId="0">
      <sharedItems/>
    </cacheField>
    <cacheField name="SOURCE" numFmtId="0">
      <sharedItems/>
    </cacheField>
    <cacheField name="EXPERIENCE" numFmtId="0">
      <sharedItems containsSemiMixedTypes="0" containsString="0" containsNumber="1" containsInteger="1" minValue="0" maxValue="12"/>
    </cacheField>
    <cacheField name="DEPARTMENT" numFmtId="0">
      <sharedItems/>
    </cacheField>
    <cacheField name="RECRUITER" numFmtId="0">
      <sharedItems/>
    </cacheField>
    <cacheField name="APPLICATION_DATE" numFmtId="14">
      <sharedItems containsSemiMixedTypes="0" containsNonDate="0" containsDate="1" containsString="0" minDate="2026-01-01T00:00:00" maxDate="2026-07-20T00:00:00"/>
    </cacheField>
    <cacheField name="SCREENING_DATE" numFmtId="14">
      <sharedItems containsSemiMixedTypes="0" containsNonDate="0" containsDate="1" containsString="0" minDate="2026-01-03T00:00:00" maxDate="2026-07-23T00:00:00"/>
    </cacheField>
    <cacheField name="INTERVIEW_DATE" numFmtId="0">
      <sharedItems containsDate="1" containsMixedTypes="1" minDate="2026-01-05T00:00:00" maxDate="2026-07-26T00:00:00"/>
    </cacheField>
    <cacheField name="OFFER_DATE" numFmtId="14">
      <sharedItems containsDate="1" containsMixedTypes="1" minDate="2026-01-06T00:00:00" maxDate="2026-07-26T00:00:00"/>
    </cacheField>
    <cacheField name="STATUS" numFmtId="0">
      <sharedItems/>
    </cacheField>
    <cacheField name="EXPECTED_SALARY" numFmtId="1">
      <sharedItems containsSemiMixedTypes="0" containsString="0" containsNumber="1" containsInteger="1" minValue="306249" maxValue="1199927"/>
    </cacheField>
    <cacheField name="OFFERED SALARY" numFmtId="1">
      <sharedItems containsSemiMixedTypes="0" containsString="0" containsNumber="1" containsInteger="1" minValue="0" maxValue="1190015"/>
    </cacheField>
    <cacheField name="REJECTION REASON" numFmtId="1">
      <sharedItems count="4">
        <s v="N/A"/>
        <s v="NOT QUALIFIED"/>
        <s v="BETTER OPPURTUNITY"/>
        <s v="TECHNICAL SKILLS GAP"/>
      </sharedItems>
    </cacheField>
    <cacheField name="TIME-TO_HIRE_DAYS" numFmtId="0">
      <sharedItems containsSemiMixedTypes="0" containsString="0" containsNumber="1" containsInteger="1" minValue="0" maxValue="30"/>
    </cacheField>
    <cacheField name="SALARY_GAP" numFmtId="0">
      <sharedItems containsSemiMixedTypes="0" containsString="0" containsNumber="1" containsInteger="1" minValue="-112010" maxValue="0"/>
    </cacheField>
    <cacheField name="DROP_OFF_STAGE" numFmtId="0">
      <sharedItems count="4">
        <s v="SUCCESSFULLY HIRED"/>
        <s v="SCREENING"/>
        <s v="OFFER"/>
        <s v="INTERVIEW"/>
      </sharedItems>
    </cacheField>
  </cacheFields>
  <extLst>
    <ext xmlns:x14="http://schemas.microsoft.com/office/spreadsheetml/2009/9/main" uri="{725AE2AE-9491-48be-B2B4-4EB974FC3084}">
      <x14:pivotCacheDefinition pivotCacheId="917088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s v="C001"/>
    <s v="CANDIDATE_001"/>
    <s v="FEMALE"/>
    <s v="NAUKRI"/>
    <n v="8"/>
    <s v="OPERATIONS"/>
    <s v="KARAN"/>
    <d v="2026-01-01T00:00:00"/>
    <d v="2026-01-03T00:00:00"/>
    <d v="2026-01-07T00:00:00"/>
    <d v="2026-01-09T00:00:00"/>
    <s v="HIRED"/>
    <n v="682145"/>
    <n v="661681"/>
    <x v="0"/>
    <n v="25"/>
    <n v="-20464"/>
    <x v="0"/>
  </r>
  <r>
    <s v="C002"/>
    <s v="CANDIDATE_002"/>
    <s v="MALE"/>
    <s v="LINKEDIN"/>
    <n v="10"/>
    <s v="TECHNOLOGY"/>
    <s v="PRIYA"/>
    <d v="2026-01-02T00:00:00"/>
    <d v="2026-01-03T00:00:00"/>
    <d v="2026-01-05T00:00:00"/>
    <d v="2026-01-06T00:00:00"/>
    <s v="HIRED"/>
    <n v="1176346"/>
    <n v="1117529"/>
    <x v="0"/>
    <n v="22"/>
    <n v="-58817"/>
    <x v="0"/>
  </r>
  <r>
    <s v="C003"/>
    <s v="CANDIDATE_003"/>
    <s v="FEMALE"/>
    <s v="REFERRAL"/>
    <n v="2"/>
    <s v="TECHNOLOGY"/>
    <s v="ANANYA"/>
    <d v="2026-01-03T00:00:00"/>
    <d v="2026-01-06T00:00:00"/>
    <s v="N/A"/>
    <s v="N/A"/>
    <s v="REJECTED - SCREENING"/>
    <n v="1101933"/>
    <n v="0"/>
    <x v="1"/>
    <n v="0"/>
    <n v="0"/>
    <x v="1"/>
  </r>
  <r>
    <s v="C004"/>
    <s v="CANDIDATE_004"/>
    <s v="MALE"/>
    <s v="COMPANY WEBSITE"/>
    <n v="0"/>
    <s v="SALES"/>
    <s v="KARAN"/>
    <d v="2026-01-04T00:00:00"/>
    <d v="2026-01-07T00:00:00"/>
    <s v="N/A"/>
    <s v="N/A"/>
    <s v="REJECTED - SCREENING"/>
    <n v="521038"/>
    <n v="0"/>
    <x v="1"/>
    <n v="0"/>
    <n v="0"/>
    <x v="1"/>
  </r>
  <r>
    <s v="C005"/>
    <s v="CANDIDATE_005"/>
    <s v="FEMALE"/>
    <s v="LINKEDIN"/>
    <n v="8"/>
    <s v="SALES"/>
    <s v="PRIYA"/>
    <d v="2026-01-05T00:00:00"/>
    <d v="2026-01-08T00:00:00"/>
    <d v="2026-01-10T00:00:00"/>
    <d v="2026-01-12T00:00:00"/>
    <s v="OFFER REJECTED"/>
    <n v="416821"/>
    <n v="375139"/>
    <x v="2"/>
    <n v="0"/>
    <n v="-41682"/>
    <x v="2"/>
  </r>
  <r>
    <s v="C006"/>
    <s v="CANDIDATE_006"/>
    <s v="FEMALE"/>
    <s v="LINKEDIN"/>
    <n v="7"/>
    <s v="SALES"/>
    <s v="PRIYA"/>
    <d v="2026-01-06T00:00:00"/>
    <d v="2026-01-09T00:00:00"/>
    <d v="2026-01-11T00:00:00"/>
    <s v="N/A"/>
    <s v="REJECTED - INTERVIEW"/>
    <n v="306249"/>
    <n v="0"/>
    <x v="3"/>
    <n v="0"/>
    <n v="0"/>
    <x v="3"/>
  </r>
  <r>
    <s v="C007"/>
    <s v="CANDIDATE_007"/>
    <s v="MALE"/>
    <s v="REFERRAL"/>
    <n v="11"/>
    <s v="TECHNOLOGY"/>
    <s v="PRIYA"/>
    <d v="2026-01-07T00:00:00"/>
    <d v="2026-01-09T00:00:00"/>
    <s v="N/A"/>
    <s v="N/A"/>
    <s v="REJECTED - SCREENING"/>
    <n v="826400"/>
    <n v="0"/>
    <x v="1"/>
    <n v="0"/>
    <n v="0"/>
    <x v="1"/>
  </r>
  <r>
    <s v="C008"/>
    <s v="CANDIDATE_008"/>
    <s v="FEMALE"/>
    <s v="REFERRAL"/>
    <n v="3"/>
    <s v="TECHNOLOGY"/>
    <s v="RAHUL"/>
    <d v="2026-01-08T00:00:00"/>
    <d v="2026-01-09T00:00:00"/>
    <d v="2026-01-12T00:00:00"/>
    <d v="2026-01-13T00:00:00"/>
    <s v="HIRED"/>
    <n v="1150804"/>
    <n v="1093264"/>
    <x v="0"/>
    <n v="12"/>
    <n v="-57540"/>
    <x v="0"/>
  </r>
  <r>
    <s v="C009"/>
    <s v="CANDIDATE_009"/>
    <s v="MALE"/>
    <s v="NAUKRI"/>
    <n v="9"/>
    <s v="HR"/>
    <s v="PRIYA"/>
    <d v="2026-01-09T00:00:00"/>
    <d v="2026-01-12T00:00:00"/>
    <d v="2026-01-16T00:00:00"/>
    <d v="2026-01-17T00:00:00"/>
    <s v="HIRED"/>
    <n v="367354"/>
    <n v="363680"/>
    <x v="0"/>
    <n v="18"/>
    <n v="-3674"/>
    <x v="0"/>
  </r>
  <r>
    <s v="C010"/>
    <s v="CANDIDATE_010"/>
    <s v="MALE"/>
    <s v="NAUKRI"/>
    <n v="1"/>
    <s v="TECHNOLOGY"/>
    <s v="KARAN"/>
    <d v="2026-01-10T00:00:00"/>
    <d v="2026-01-11T00:00:00"/>
    <d v="2026-01-16T00:00:00"/>
    <d v="2026-01-17T00:00:00"/>
    <s v="OFFER REJECTED"/>
    <n v="984117"/>
    <n v="954593"/>
    <x v="2"/>
    <n v="0"/>
    <n v="-29524"/>
    <x v="2"/>
  </r>
  <r>
    <s v="C011"/>
    <s v="CANDIDATE_011"/>
    <s v="FEMALE"/>
    <s v="NAUKRI"/>
    <n v="9"/>
    <s v="SALES"/>
    <s v="PRIYA"/>
    <d v="2026-01-11T00:00:00"/>
    <d v="2026-01-12T00:00:00"/>
    <d v="2026-01-15T00:00:00"/>
    <d v="2026-01-17T00:00:00"/>
    <s v="OFFER REJECTED"/>
    <n v="379928"/>
    <n v="349534"/>
    <x v="2"/>
    <n v="0"/>
    <n v="-30394"/>
    <x v="2"/>
  </r>
  <r>
    <s v="C012"/>
    <s v="CANDIDATE_012"/>
    <s v="MALE"/>
    <s v="NAUKRI"/>
    <n v="12"/>
    <s v="TECHNOLOGY"/>
    <s v="KARAN"/>
    <d v="2026-01-12T00:00:00"/>
    <d v="2026-01-15T00:00:00"/>
    <d v="2026-01-20T00:00:00"/>
    <d v="2026-01-23T00:00:00"/>
    <s v="OFFER REJECTED"/>
    <n v="1154287"/>
    <n v="1073487"/>
    <x v="2"/>
    <n v="0"/>
    <n v="-80800"/>
    <x v="2"/>
  </r>
  <r>
    <s v="C013"/>
    <s v="CANDIDATE_013"/>
    <s v="MALE"/>
    <s v="COMPANY WEBSITE"/>
    <n v="11"/>
    <s v="HR"/>
    <s v="ANANYA"/>
    <d v="2026-01-13T00:00:00"/>
    <d v="2026-01-15T00:00:00"/>
    <s v="N/A"/>
    <s v="N/A"/>
    <s v="REJECTED - SCREENING"/>
    <n v="562397"/>
    <n v="0"/>
    <x v="1"/>
    <n v="0"/>
    <n v="0"/>
    <x v="1"/>
  </r>
  <r>
    <s v="C014"/>
    <s v="CANDIDATE_014"/>
    <s v="FEMALE"/>
    <s v="NAUKRI"/>
    <n v="3"/>
    <s v="TECHNOLOGY"/>
    <s v="ANANYA"/>
    <d v="2026-01-14T00:00:00"/>
    <d v="2026-01-17T00:00:00"/>
    <d v="2026-01-22T00:00:00"/>
    <d v="2026-01-25T00:00:00"/>
    <s v="HIRED"/>
    <n v="1199927"/>
    <n v="1127931"/>
    <x v="0"/>
    <n v="22"/>
    <n v="-71996"/>
    <x v="0"/>
  </r>
  <r>
    <s v="C015"/>
    <s v="CANDIDATE_015"/>
    <s v="MALE"/>
    <s v="COMPANY WEBSITE"/>
    <n v="8"/>
    <s v="OPERATIONS"/>
    <s v="ANANYA"/>
    <d v="2026-01-15T00:00:00"/>
    <d v="2026-01-16T00:00:00"/>
    <s v="N/A"/>
    <s v="N/A"/>
    <s v="REJECTED - SCREENING"/>
    <n v="677764"/>
    <n v="0"/>
    <x v="1"/>
    <n v="0"/>
    <n v="0"/>
    <x v="1"/>
  </r>
  <r>
    <s v="C016"/>
    <s v="CANDIDATE_016"/>
    <s v="MALE"/>
    <s v="COMPANY WEBSITE"/>
    <n v="0"/>
    <s v="TECHNOLOGY"/>
    <s v="KARAN"/>
    <d v="2026-01-16T00:00:00"/>
    <d v="2026-01-18T00:00:00"/>
    <s v="N/A"/>
    <s v="N/A"/>
    <s v="REJECTED - SCREENING"/>
    <n v="945477"/>
    <n v="0"/>
    <x v="1"/>
    <n v="0"/>
    <n v="0"/>
    <x v="1"/>
  </r>
  <r>
    <s v="C017"/>
    <s v="CANDIDATE_017"/>
    <s v="MALE"/>
    <s v="INDEED"/>
    <n v="8"/>
    <s v="TECHNOLOGY"/>
    <s v="PRIYA"/>
    <d v="2026-01-17T00:00:00"/>
    <d v="2026-01-19T00:00:00"/>
    <d v="2026-01-22T00:00:00"/>
    <s v="N/A"/>
    <s v="REJECTED - INTERVIEW"/>
    <n v="664355"/>
    <n v="0"/>
    <x v="3"/>
    <n v="0"/>
    <n v="0"/>
    <x v="3"/>
  </r>
  <r>
    <s v="C018"/>
    <s v="CANDIDATE_018"/>
    <s v="FEMALE"/>
    <s v="INDEED"/>
    <n v="1"/>
    <s v="SALES"/>
    <s v="ANANYA"/>
    <d v="2026-01-18T00:00:00"/>
    <d v="2026-01-19T00:00:00"/>
    <d v="2026-01-22T00:00:00"/>
    <d v="2026-01-24T00:00:00"/>
    <s v="OFFER REJECTED"/>
    <n v="434459"/>
    <n v="404047"/>
    <x v="2"/>
    <n v="0"/>
    <n v="-30412"/>
    <x v="2"/>
  </r>
  <r>
    <m/>
    <s v="CANDIDATE_019"/>
    <s v="MALE"/>
    <s v="NAUKRI"/>
    <n v="3"/>
    <s v="HR"/>
    <s v="PRIYA"/>
    <d v="2026-01-19T00:00:00"/>
    <d v="2026-01-20T00:00:00"/>
    <s v=""/>
    <s v="N/A"/>
    <s v="REJECTED - SCREENING"/>
    <n v="447159"/>
    <n v="0"/>
    <x v="1"/>
    <n v="0"/>
    <n v="0"/>
    <x v="1"/>
  </r>
  <r>
    <s v="C020"/>
    <s v="CANDIDATE_020"/>
    <s v="FEMALE"/>
    <s v="LINKEDIN"/>
    <n v="2"/>
    <s v="HR"/>
    <s v="KARAN"/>
    <d v="2026-01-20T00:00:00"/>
    <d v="2026-01-23T00:00:00"/>
    <d v="2026-01-25T00:00:00"/>
    <d v="2026-01-28T00:00:00"/>
    <s v="OFFER REJECTED"/>
    <n v="525195"/>
    <n v="504187"/>
    <x v="2"/>
    <n v="0"/>
    <n v="-21008"/>
    <x v="2"/>
  </r>
  <r>
    <s v="C021"/>
    <s v="CANDIDATE_021"/>
    <s v="FEMALE"/>
    <s v="COMPANY WEBSITE"/>
    <n v="12"/>
    <s v="TECHNOLOGY"/>
    <s v="PRIYA"/>
    <d v="2026-01-21T00:00:00"/>
    <d v="2026-01-22T00:00:00"/>
    <d v="2026-01-27T00:00:00"/>
    <d v="2026-01-30T00:00:00"/>
    <s v="OFFER REJECTED"/>
    <n v="1059010"/>
    <n v="1059010"/>
    <x v="2"/>
    <n v="0"/>
    <n v="0"/>
    <x v="2"/>
  </r>
  <r>
    <s v="C022"/>
    <s v="CANDIDATE_022"/>
    <s v="MALE"/>
    <s v="INDEED"/>
    <n v="6"/>
    <s v="HR"/>
    <s v="PRIYA"/>
    <d v="2026-01-22T00:00:00"/>
    <d v="2026-01-25T00:00:00"/>
    <s v="N/A"/>
    <s v="N/A"/>
    <s v="REJECTED - SCREENING"/>
    <n v="308489"/>
    <n v="0"/>
    <x v="1"/>
    <n v="0"/>
    <n v="0"/>
    <x v="1"/>
  </r>
  <r>
    <s v="C023"/>
    <s v="CANDIDATE_023"/>
    <s v="MALE"/>
    <s v="NAUKRI"/>
    <n v="1"/>
    <s v="OPERATIONS"/>
    <s v="PRIYA"/>
    <d v="2026-01-23T00:00:00"/>
    <d v="2026-01-26T00:00:00"/>
    <s v="N/A"/>
    <s v="N/A"/>
    <s v="REJECTED - SCREENING"/>
    <n v="389835"/>
    <n v="0"/>
    <x v="1"/>
    <n v="0"/>
    <n v="0"/>
    <x v="1"/>
  </r>
  <r>
    <s v="C024"/>
    <s v="CANDIDATE_024"/>
    <s v="MALE"/>
    <s v="INDEED"/>
    <n v="10"/>
    <s v="SALES"/>
    <s v="ANANYA"/>
    <d v="2026-01-24T00:00:00"/>
    <d v="2026-01-27T00:00:00"/>
    <d v="2026-02-01T00:00:00"/>
    <d v="2026-02-03T00:00:00"/>
    <s v="HIRED"/>
    <n v="313854"/>
    <n v="295023"/>
    <x v="0"/>
    <n v="29"/>
    <n v="-18831"/>
    <x v="0"/>
  </r>
  <r>
    <s v="C025"/>
    <s v="CANDIDATE_025"/>
    <s v="FEMALE"/>
    <s v="LINKEDIN"/>
    <n v="8"/>
    <s v="HR"/>
    <s v="ANANYA"/>
    <d v="2026-01-25T00:00:00"/>
    <d v="2026-01-26T00:00:00"/>
    <d v="2026-01-30T00:00:00"/>
    <d v="2026-02-01T00:00:00"/>
    <s v="OFFER REJECTED"/>
    <n v="450968"/>
    <n v="437439"/>
    <x v="2"/>
    <n v="0"/>
    <n v="-13529"/>
    <x v="2"/>
  </r>
  <r>
    <s v="C026"/>
    <s v="CANDIDATE_026"/>
    <s v="FEMALE"/>
    <s v="NAUKRI"/>
    <n v="6"/>
    <s v="OPERATIONS"/>
    <s v="RAHUL"/>
    <d v="2026-01-26T00:00:00"/>
    <d v="2026-01-27T00:00:00"/>
    <d v="2026-02-01T00:00:00"/>
    <d v="2026-02-03T00:00:00"/>
    <s v="OFFER REJECTED"/>
    <n v="698231"/>
    <n v="656337"/>
    <x v="2"/>
    <n v="0"/>
    <n v="-41894"/>
    <x v="2"/>
  </r>
  <r>
    <s v="C027"/>
    <s v="CANDIDATE_027"/>
    <s v="MALE"/>
    <s v="REFERRAL"/>
    <n v="2"/>
    <s v="HR"/>
    <s v="KARAN"/>
    <d v="2026-01-27T00:00:00"/>
    <d v="2026-01-30T00:00:00"/>
    <s v="N/A"/>
    <s v="N/A"/>
    <s v="REJECTED - SCREENING"/>
    <n v="525861"/>
    <n v="0"/>
    <x v="1"/>
    <n v="0"/>
    <n v="0"/>
    <x v="1"/>
  </r>
  <r>
    <s v="C028"/>
    <s v="CANDIDATE_028"/>
    <s v="FEMALE"/>
    <s v="REFERRAL"/>
    <n v="4"/>
    <s v="OPERATIONS"/>
    <s v="ANANYA"/>
    <d v="2026-01-28T00:00:00"/>
    <d v="2026-01-31T00:00:00"/>
    <s v="N/A"/>
    <s v="N/A"/>
    <s v="REJECTED - INTERVIEW"/>
    <n v="378835"/>
    <n v="0"/>
    <x v="3"/>
    <n v="0"/>
    <n v="0"/>
    <x v="3"/>
  </r>
  <r>
    <s v="C029"/>
    <s v="CANDIDATE_029"/>
    <s v="MALE"/>
    <s v="COMPANY WEBSITE"/>
    <n v="10"/>
    <s v="TECHNOLOGY"/>
    <s v="RAHUL"/>
    <d v="2026-01-29T00:00:00"/>
    <d v="2026-02-01T00:00:00"/>
    <d v="2026-02-06T00:00:00"/>
    <d v="2026-02-09T00:00:00"/>
    <s v="OFFER REJECTED"/>
    <n v="1064907"/>
    <n v="1054258"/>
    <x v="2"/>
    <n v="0"/>
    <n v="-10649"/>
    <x v="2"/>
  </r>
  <r>
    <s v="C030"/>
    <s v="CANDIDATE_030"/>
    <s v="MALE"/>
    <s v="REFERRAL"/>
    <n v="7"/>
    <s v="OPERATIONS"/>
    <s v="RAHUL"/>
    <d v="2026-01-30T00:00:00"/>
    <d v="2026-02-02T00:00:00"/>
    <s v="N/A"/>
    <s v="N/A"/>
    <s v="REJECTED - SCREENING"/>
    <n v="698030"/>
    <n v="0"/>
    <x v="1"/>
    <n v="0"/>
    <n v="0"/>
    <x v="1"/>
  </r>
  <r>
    <s v="C031"/>
    <s v="CANDIDATE_031"/>
    <s v="MALE"/>
    <s v="NAUKRI"/>
    <n v="2"/>
    <s v="OPERATIONS"/>
    <s v="ANANYA"/>
    <d v="2026-01-31T00:00:00"/>
    <d v="2026-02-03T00:00:00"/>
    <d v="2026-02-08T00:00:00"/>
    <d v="2026-02-11T00:00:00"/>
    <s v="HIRED"/>
    <n v="379941"/>
    <n v="349546"/>
    <x v="0"/>
    <n v="30"/>
    <n v="-30395"/>
    <x v="0"/>
  </r>
  <r>
    <s v="C032"/>
    <s v="CANDIDATE_033"/>
    <s v="MALE"/>
    <s v="COMPANY WEBSITE"/>
    <n v="6"/>
    <s v="SALES"/>
    <s v="ANANYA"/>
    <d v="2026-02-02T00:00:00"/>
    <d v="2026-02-04T00:00:00"/>
    <s v="N/A"/>
    <s v="N/A"/>
    <s v="REJECTED - SCREENING"/>
    <n v="469776"/>
    <n v="0"/>
    <x v="1"/>
    <n v="0"/>
    <n v="0"/>
    <x v="1"/>
  </r>
  <r>
    <s v="C033"/>
    <s v="CANDIDATE_034"/>
    <s v="FEMALE"/>
    <s v="NAUKRI"/>
    <n v="11"/>
    <s v="SALES"/>
    <s v="KARAN"/>
    <d v="2026-02-03T00:00:00"/>
    <d v="2026-02-05T00:00:00"/>
    <d v="2026-02-08T00:00:00"/>
    <s v="N/A"/>
    <s v="REJECTED - INTERVIEW"/>
    <n v="316804"/>
    <n v="0"/>
    <x v="3"/>
    <n v="0"/>
    <n v="0"/>
    <x v="3"/>
  </r>
  <r>
    <s v="C034"/>
    <s v="CANDIDATE_035"/>
    <s v="MALE"/>
    <s v="NAUKRI"/>
    <n v="6"/>
    <s v="OPERATIONS"/>
    <s v="ANANYA"/>
    <d v="2026-02-04T00:00:00"/>
    <d v="2026-02-06T00:00:00"/>
    <d v="2026-02-10T00:00:00"/>
    <d v="2026-02-11T00:00:00"/>
    <s v="OFFER REJECTED"/>
    <n v="669374"/>
    <n v="649293"/>
    <x v="2"/>
    <n v="0"/>
    <n v="-20081"/>
    <x v="2"/>
  </r>
  <r>
    <s v="C035"/>
    <s v="CANDIDATE_036"/>
    <s v="FEMALE"/>
    <s v="INDEED"/>
    <n v="1"/>
    <s v="OPERATIONS"/>
    <s v="ANANYA"/>
    <d v="2026-02-05T00:00:00"/>
    <d v="2026-02-07T00:00:00"/>
    <d v="2026-02-10T00:00:00"/>
    <s v="N/A"/>
    <s v="REJECTED - INTERVIEW"/>
    <n v="403548"/>
    <n v="0"/>
    <x v="3"/>
    <n v="0"/>
    <n v="0"/>
    <x v="3"/>
  </r>
  <r>
    <s v="C036"/>
    <s v="CANDIDATE_037"/>
    <s v="MALE"/>
    <s v="REFERRAL"/>
    <n v="0"/>
    <s v="HR"/>
    <s v="PRIYA"/>
    <d v="2026-02-06T00:00:00"/>
    <d v="2026-02-09T00:00:00"/>
    <s v="N/A"/>
    <s v="N/A"/>
    <s v="REJECTED - SCREENING"/>
    <n v="417236"/>
    <n v="0"/>
    <x v="1"/>
    <n v="0"/>
    <n v="0"/>
    <x v="1"/>
  </r>
  <r>
    <s v="C037"/>
    <s v="CANDIDATE_038"/>
    <s v="MALE"/>
    <s v="INDEED"/>
    <n v="1"/>
    <s v="TECHNOLOGY"/>
    <s v="KARAN"/>
    <d v="2026-02-07T00:00:00"/>
    <d v="2026-02-08T00:00:00"/>
    <d v="2026-02-11T00:00:00"/>
    <d v="2026-02-12T00:00:00"/>
    <s v="OFFER REJECTED"/>
    <n v="578262"/>
    <n v="543566"/>
    <x v="2"/>
    <n v="0"/>
    <n v="-34696"/>
    <x v="2"/>
  </r>
  <r>
    <s v="C038"/>
    <s v="CANDIDATE_039"/>
    <s v="FEMALE"/>
    <s v="REFERRAL"/>
    <n v="7"/>
    <s v="SALES"/>
    <s v="KARAN"/>
    <d v="2026-02-08T00:00:00"/>
    <d v="2026-02-09T00:00:00"/>
    <s v="N/A"/>
    <s v="N/A"/>
    <s v="REJECTED - SCREENING"/>
    <n v="336586"/>
    <n v="0"/>
    <x v="1"/>
    <n v="0"/>
    <n v="0"/>
    <x v="1"/>
  </r>
  <r>
    <s v="C039"/>
    <s v="CANDIDATE_040"/>
    <s v="MALE"/>
    <s v="INDEED"/>
    <n v="4"/>
    <s v="HR"/>
    <s v="KARAN"/>
    <d v="2026-02-09T00:00:00"/>
    <d v="2026-02-11T00:00:00"/>
    <d v="2026-02-16T00:00:00"/>
    <d v="2026-02-17T00:00:00"/>
    <s v="OFFER REJECTED"/>
    <n v="308374"/>
    <n v="289872"/>
    <x v="2"/>
    <n v="0"/>
    <n v="-18502"/>
    <x v="2"/>
  </r>
  <r>
    <s v="C040"/>
    <s v="CANDIDATE_041"/>
    <s v="MALE"/>
    <s v="INDEED"/>
    <n v="9"/>
    <s v="TECHNOLOGY"/>
    <s v="PRIYA"/>
    <d v="2026-02-10T00:00:00"/>
    <d v="2026-02-11T00:00:00"/>
    <d v="2026-02-13T00:00:00"/>
    <s v="N/A"/>
    <s v="REJECTED - INTERVIEW"/>
    <n v="578001"/>
    <n v="0"/>
    <x v="3"/>
    <n v="0"/>
    <n v="0"/>
    <x v="3"/>
  </r>
  <r>
    <s v="C041"/>
    <s v="CANDIDATE_042"/>
    <s v="FEMALE"/>
    <s v="LINKEDIN"/>
    <n v="0"/>
    <s v="OPERATIONS"/>
    <s v="RAHUL"/>
    <d v="2026-02-11T00:00:00"/>
    <d v="2026-02-13T00:00:00"/>
    <d v="2026-02-18T00:00:00"/>
    <d v="2026-02-19T00:00:00"/>
    <s v="HIRED"/>
    <n v="439187"/>
    <n v="417228"/>
    <x v="0"/>
    <n v="28"/>
    <n v="-21959"/>
    <x v="0"/>
  </r>
  <r>
    <s v="C042"/>
    <s v="CANDIDATE_043"/>
    <s v="MALE"/>
    <s v="NAUKRI"/>
    <n v="11"/>
    <s v="HR"/>
    <s v="PRIYA"/>
    <d v="2026-02-12T00:00:00"/>
    <d v="2026-02-15T00:00:00"/>
    <d v="2026-02-17T00:00:00"/>
    <d v="2026-02-18T00:00:00"/>
    <s v="OFFER REJECTED"/>
    <n v="388577"/>
    <n v="361377"/>
    <x v="2"/>
    <n v="0"/>
    <n v="-27200"/>
    <x v="2"/>
  </r>
  <r>
    <s v="C043"/>
    <s v="CANDIDATE_044"/>
    <s v="MALE"/>
    <s v="REFERRAL"/>
    <n v="9"/>
    <s v="TECHNOLOGY"/>
    <s v="ANANYA"/>
    <d v="2026-02-13T00:00:00"/>
    <d v="2026-02-15T00:00:00"/>
    <d v="2026-02-17T00:00:00"/>
    <d v="2026-02-18T00:00:00"/>
    <s v="OFFER REJECTED"/>
    <n v="1190015"/>
    <n v="1190015"/>
    <x v="2"/>
    <n v="0"/>
    <n v="0"/>
    <x v="2"/>
  </r>
  <r>
    <s v="C044"/>
    <s v="CANDIDATE_045"/>
    <s v="MALE"/>
    <s v="REFERRAL"/>
    <n v="7"/>
    <s v="HR"/>
    <s v="PRIYA"/>
    <d v="2026-02-14T00:00:00"/>
    <d v="2026-02-16T00:00:00"/>
    <s v="N/A"/>
    <s v="N/A"/>
    <s v="REJECTED - SCREENING"/>
    <n v="496140"/>
    <n v="0"/>
    <x v="1"/>
    <n v="0"/>
    <n v="0"/>
    <x v="1"/>
  </r>
  <r>
    <s v="C045"/>
    <s v="CANDIDATE_046"/>
    <s v="FEMALE"/>
    <s v="INDEED"/>
    <n v="7"/>
    <s v="HR"/>
    <s v="PRIYA"/>
    <d v="2026-02-15T00:00:00"/>
    <d v="2026-02-16T00:00:00"/>
    <d v="2026-02-19T00:00:00"/>
    <d v="2026-02-22T00:00:00"/>
    <s v="OFFER REJECTED"/>
    <n v="579690"/>
    <n v="573893"/>
    <x v="2"/>
    <n v="0"/>
    <n v="-5797"/>
    <x v="2"/>
  </r>
  <r>
    <s v="C046"/>
    <s v="CANDIDATE_047"/>
    <s v="FEMALE"/>
    <s v="NAUKRI"/>
    <n v="7"/>
    <s v="TECHNOLOGY"/>
    <s v="ANANYA"/>
    <d v="2026-02-16T00:00:00"/>
    <d v="2026-02-19T00:00:00"/>
    <s v="N/A"/>
    <s v="N/A"/>
    <s v="REJECTED - SCREENING"/>
    <n v="1140887"/>
    <n v="0"/>
    <x v="1"/>
    <n v="0"/>
    <n v="0"/>
    <x v="1"/>
  </r>
  <r>
    <s v="C047"/>
    <s v="CANDIDATE_048"/>
    <s v="MALE"/>
    <s v="NAUKRI"/>
    <n v="2"/>
    <s v="HR"/>
    <s v="RAHUL"/>
    <d v="2026-02-17T00:00:00"/>
    <d v="2026-02-18T00:00:00"/>
    <d v="2026-02-23T00:00:00"/>
    <s v="N/A"/>
    <s v="REJECTED - INTERVIEW"/>
    <n v="569243"/>
    <n v="0"/>
    <x v="3"/>
    <n v="0"/>
    <n v="0"/>
    <x v="3"/>
  </r>
  <r>
    <s v="C048"/>
    <s v="CANDIDATE_049"/>
    <s v="FEMALE"/>
    <s v="INDEED"/>
    <n v="5"/>
    <s v="HR"/>
    <s v="RAHUL"/>
    <d v="2026-02-18T00:00:00"/>
    <d v="2026-02-20T00:00:00"/>
    <d v="2026-02-25T00:00:00"/>
    <d v="2026-02-28T00:00:00"/>
    <s v="HIRED"/>
    <n v="403781"/>
    <n v="399743"/>
    <x v="0"/>
    <n v="19"/>
    <n v="-4038"/>
    <x v="0"/>
  </r>
  <r>
    <s v="C049"/>
    <s v="CANDIDATE_050"/>
    <s v="MALE"/>
    <s v="REFERRAL"/>
    <n v="9"/>
    <s v="OPERATIONS"/>
    <s v="KARAN"/>
    <d v="2026-02-19T00:00:00"/>
    <d v="2026-02-20T00:00:00"/>
    <d v="2026-02-25T00:00:00"/>
    <d v="2026-02-27T00:00:00"/>
    <s v="OFFER REJECTED"/>
    <n v="449785"/>
    <n v="422798"/>
    <x v="2"/>
    <n v="0"/>
    <n v="-26987"/>
    <x v="2"/>
  </r>
  <r>
    <s v="C050"/>
    <s v="CANDIDATE_051"/>
    <s v="FEMALE"/>
    <s v="COMPANY WEBSITE"/>
    <n v="6"/>
    <s v="OPERATIONS"/>
    <s v="ANANYA"/>
    <d v="2026-02-20T00:00:00"/>
    <d v="2026-02-23T00:00:00"/>
    <d v="2026-02-26T00:00:00"/>
    <s v="N/A"/>
    <s v="REJECTED - INTERVIEW"/>
    <n v="371941"/>
    <n v="0"/>
    <x v="3"/>
    <n v="0"/>
    <n v="0"/>
    <x v="3"/>
  </r>
  <r>
    <s v="C051"/>
    <s v="CANDIDATE_052"/>
    <s v="MALE"/>
    <s v="LINKEDIN"/>
    <n v="5"/>
    <s v="SALES"/>
    <s v="ANANYA"/>
    <d v="2026-02-21T00:00:00"/>
    <d v="2026-02-24T00:00:00"/>
    <d v="2026-02-28T00:00:00"/>
    <d v="2026-03-02T00:00:00"/>
    <s v="OFFER REJECTED"/>
    <n v="442527"/>
    <n v="402700"/>
    <x v="2"/>
    <n v="0"/>
    <n v="-39827"/>
    <x v="2"/>
  </r>
  <r>
    <s v="C052"/>
    <s v="CANDIDATE_053"/>
    <s v="MALE"/>
    <s v="INDEED"/>
    <n v="1"/>
    <s v="TECHNOLOGY"/>
    <s v="ANANYA"/>
    <d v="2026-02-22T00:00:00"/>
    <d v="2026-02-23T00:00:00"/>
    <s v="N/A"/>
    <s v="N/A"/>
    <s v="REJECTED - SCREENING"/>
    <n v="554481"/>
    <n v="0"/>
    <x v="1"/>
    <n v="0"/>
    <n v="0"/>
    <x v="1"/>
  </r>
  <r>
    <s v="C053"/>
    <s v="CANDIDATE_054"/>
    <s v="MALE"/>
    <s v="INDEED"/>
    <n v="10"/>
    <s v="HR"/>
    <s v="RAHUL"/>
    <d v="2026-02-23T00:00:00"/>
    <d v="2026-02-24T00:00:00"/>
    <d v="2026-02-28T00:00:00"/>
    <d v="2026-03-01T00:00:00"/>
    <s v="OFFER REJECTED"/>
    <n v="567656"/>
    <n v="522244"/>
    <x v="2"/>
    <n v="0"/>
    <n v="-45412"/>
    <x v="2"/>
  </r>
  <r>
    <s v="C054"/>
    <s v="CANDIDATE_055"/>
    <s v="MALE"/>
    <s v="LINKEDIN"/>
    <n v="8"/>
    <s v="OPERATIONS"/>
    <s v="ANANYA"/>
    <d v="2026-02-24T00:00:00"/>
    <d v="2026-02-27T00:00:00"/>
    <d v="2026-03-04T00:00:00"/>
    <d v="2026-03-06T00:00:00"/>
    <s v="OFFER REJECTED"/>
    <n v="473648"/>
    <n v="440493"/>
    <x v="2"/>
    <n v="0"/>
    <n v="-33155"/>
    <x v="2"/>
  </r>
  <r>
    <s v="C055"/>
    <s v="CANDIDATE_056"/>
    <s v="MALE"/>
    <s v="LINKEDIN"/>
    <n v="11"/>
    <s v="OPERATIONS"/>
    <s v="RAHUL"/>
    <d v="2026-02-25T00:00:00"/>
    <d v="2026-02-27T00:00:00"/>
    <d v="2026-03-01T00:00:00"/>
    <d v="2026-03-04T00:00:00"/>
    <s v="HIRED"/>
    <n v="503858"/>
    <n v="453472"/>
    <x v="0"/>
    <n v="21"/>
    <n v="-50386"/>
    <x v="0"/>
  </r>
  <r>
    <s v="C056"/>
    <s v="CANDIDATE_057"/>
    <s v="MALE"/>
    <s v="LINKEDIN"/>
    <n v="1"/>
    <s v="TECHNOLOGY"/>
    <s v="ANANYA"/>
    <d v="2026-02-26T00:00:00"/>
    <d v="2026-02-27T00:00:00"/>
    <d v="2026-03-01T00:00:00"/>
    <d v="2026-03-04T00:00:00"/>
    <s v="OFFER REJECTED"/>
    <n v="762436"/>
    <n v="754812"/>
    <x v="2"/>
    <n v="0"/>
    <n v="-7624"/>
    <x v="2"/>
  </r>
  <r>
    <s v="C057"/>
    <s v="CANDIDATE_058"/>
    <s v="MALE"/>
    <s v="INDEED"/>
    <n v="0"/>
    <s v="TECHNOLOGY"/>
    <s v="KARAN"/>
    <d v="2026-02-27T00:00:00"/>
    <d v="2026-02-28T00:00:00"/>
    <s v="N/A"/>
    <s v="N/A"/>
    <s v="REJECTED - SCREENING"/>
    <n v="634429"/>
    <n v="0"/>
    <x v="1"/>
    <n v="0"/>
    <n v="0"/>
    <x v="1"/>
  </r>
  <r>
    <s v="C058"/>
    <s v="CANDIDATE_060"/>
    <s v="FEMALE"/>
    <s v="LINKEDIN"/>
    <n v="3"/>
    <s v="HR"/>
    <s v="ANANYA"/>
    <d v="2026-03-01T00:00:00"/>
    <d v="2026-03-03T00:00:00"/>
    <d v="2026-03-08T00:00:00"/>
    <d v="2026-03-10T00:00:00"/>
    <s v="OFFER REJECTED"/>
    <n v="497146"/>
    <n v="497146"/>
    <x v="2"/>
    <n v="0"/>
    <n v="0"/>
    <x v="2"/>
  </r>
  <r>
    <s v="C059"/>
    <s v="CANDIDATE_061"/>
    <s v="FEMALE"/>
    <s v="LINKEDIN"/>
    <n v="8"/>
    <s v="TECHNOLOGY"/>
    <s v="PRIYA"/>
    <d v="2026-03-02T00:00:00"/>
    <d v="2026-03-05T00:00:00"/>
    <d v="2026-03-09T00:00:00"/>
    <d v="2026-03-11T00:00:00"/>
    <s v="OFFER REJECTED"/>
    <n v="838387"/>
    <n v="830003"/>
    <x v="2"/>
    <n v="0"/>
    <n v="-8384"/>
    <x v="2"/>
  </r>
  <r>
    <s v="C060"/>
    <s v="CANDIDATE_062"/>
    <s v="MALE"/>
    <s v="REFERRAL"/>
    <n v="0"/>
    <s v="OPERATIONS"/>
    <s v="RAHUL"/>
    <d v="2026-03-03T00:00:00"/>
    <d v="2026-03-06T00:00:00"/>
    <d v="2026-03-09T00:00:00"/>
    <s v="N/A"/>
    <s v="REJECTED - INTERVIEW"/>
    <n v="555997"/>
    <n v="0"/>
    <x v="3"/>
    <n v="0"/>
    <n v="0"/>
    <x v="3"/>
  </r>
  <r>
    <s v="C061"/>
    <s v="CANDIDATE_063"/>
    <s v="MALE"/>
    <s v="COMPANY WEBSITE"/>
    <n v="3"/>
    <s v="TECHNOLOGY"/>
    <s v="PRIYA"/>
    <d v="2026-03-04T00:00:00"/>
    <d v="2026-03-07T00:00:00"/>
    <d v="2026-03-09T00:00:00"/>
    <d v="2026-03-11T00:00:00"/>
    <s v="OFFER REJECTED"/>
    <n v="1037106"/>
    <n v="954138"/>
    <x v="2"/>
    <n v="0"/>
    <n v="-82968"/>
    <x v="2"/>
  </r>
  <r>
    <s v="C062"/>
    <s v="CANDIDATE_064"/>
    <s v="FEMALE"/>
    <s v="REFERRAL"/>
    <n v="9"/>
    <s v="OPERATIONS"/>
    <s v="RAHUL"/>
    <d v="2026-03-05T00:00:00"/>
    <d v="2026-03-08T00:00:00"/>
    <d v="2026-03-12T00:00:00"/>
    <d v="2026-03-14T00:00:00"/>
    <s v="HIRED"/>
    <n v="554125"/>
    <n v="543043"/>
    <x v="0"/>
    <n v="25"/>
    <n v="-11082"/>
    <x v="0"/>
  </r>
  <r>
    <s v="C063"/>
    <s v="CANDIDATE_065"/>
    <s v="FEMALE"/>
    <s v="LINKEDIN"/>
    <n v="3"/>
    <s v="HR"/>
    <s v="PRIYA"/>
    <d v="2026-03-06T00:00:00"/>
    <d v="2026-03-09T00:00:00"/>
    <d v="2026-03-11T00:00:00"/>
    <d v="2026-03-13T00:00:00"/>
    <s v="OFFER REJECTED"/>
    <n v="361278"/>
    <n v="325150"/>
    <x v="2"/>
    <n v="0"/>
    <n v="-36128"/>
    <x v="2"/>
  </r>
  <r>
    <s v="C064"/>
    <s v="CANDIDATE_066"/>
    <s v="FEMALE"/>
    <s v="INDEED"/>
    <n v="0"/>
    <s v="HR"/>
    <s v="RAHUL"/>
    <d v="2026-03-07T00:00:00"/>
    <d v="2026-03-10T00:00:00"/>
    <d v="2026-03-15T00:00:00"/>
    <s v="N/A"/>
    <s v="REJECTED - INTERVIEW"/>
    <n v="555342"/>
    <n v="0"/>
    <x v="3"/>
    <n v="0"/>
    <n v="0"/>
    <x v="3"/>
  </r>
  <r>
    <s v="C065"/>
    <s v="CANDIDATE_067"/>
    <s v="MALE"/>
    <s v="INDEED"/>
    <n v="7"/>
    <s v="OPERATIONS"/>
    <s v="PRIYA"/>
    <d v="2026-03-08T00:00:00"/>
    <d v="2026-03-11T00:00:00"/>
    <d v="2026-03-14T00:00:00"/>
    <d v="2026-03-15T00:00:00"/>
    <s v="HIRED"/>
    <n v="376446"/>
    <n v="350095"/>
    <x v="0"/>
    <n v="25"/>
    <n v="-26351"/>
    <x v="0"/>
  </r>
  <r>
    <s v="C066"/>
    <s v="CANDIDATE_068"/>
    <s v="FEMALE"/>
    <s v="NAUKRI"/>
    <n v="0"/>
    <s v="TECHNOLOGY"/>
    <s v="RAHUL"/>
    <d v="2026-03-09T00:00:00"/>
    <d v="2026-03-12T00:00:00"/>
    <d v="2026-03-17T00:00:00"/>
    <s v="N/A"/>
    <s v="REJECTED - INTERVIEW"/>
    <n v="600156"/>
    <n v="0"/>
    <x v="3"/>
    <n v="0"/>
    <n v="0"/>
    <x v="3"/>
  </r>
  <r>
    <s v="C067"/>
    <s v="CANDIDATE_069"/>
    <s v="FEMALE"/>
    <s v="REFERRAL"/>
    <n v="8"/>
    <s v="SALES"/>
    <s v="ANANYA"/>
    <d v="2026-03-10T00:00:00"/>
    <d v="2026-03-11T00:00:00"/>
    <s v="N/A"/>
    <s v="N/A"/>
    <s v="REJECTED - SCREENING"/>
    <n v="334155"/>
    <n v="0"/>
    <x v="1"/>
    <n v="0"/>
    <n v="0"/>
    <x v="1"/>
  </r>
  <r>
    <s v="C068"/>
    <s v="CANDIDATE_070"/>
    <s v="FEMALE"/>
    <s v="LINKEDIN"/>
    <n v="4"/>
    <s v="SALES"/>
    <s v="RAHUL"/>
    <d v="2026-03-11T00:00:00"/>
    <d v="2026-03-14T00:00:00"/>
    <d v="2026-03-19T00:00:00"/>
    <d v="2026-03-22T00:00:00"/>
    <s v="HIRED"/>
    <n v="316745"/>
    <n v="304075"/>
    <x v="0"/>
    <n v="21"/>
    <n v="-12670"/>
    <x v="0"/>
  </r>
  <r>
    <s v="C069"/>
    <s v="CANDIDATE_071"/>
    <s v="MALE"/>
    <s v="REFERRAL"/>
    <n v="6"/>
    <s v="TECHNOLOGY"/>
    <s v="RAHUL"/>
    <d v="2026-03-12T00:00:00"/>
    <d v="2026-03-13T00:00:00"/>
    <d v="2026-03-17T00:00:00"/>
    <d v="2026-03-20T00:00:00"/>
    <s v="OFFER REJECTED"/>
    <n v="360013"/>
    <n v="349213"/>
    <x v="2"/>
    <n v="0"/>
    <n v="-10800"/>
    <x v="2"/>
  </r>
  <r>
    <s v="C070"/>
    <s v="CANDIDATE_072"/>
    <s v="MALE"/>
    <s v="NAUKRI"/>
    <n v="9"/>
    <s v="TECHNOLOGY"/>
    <s v="RAHUL"/>
    <d v="2026-03-13T00:00:00"/>
    <d v="2026-03-16T00:00:00"/>
    <s v="N/A"/>
    <s v="N/A"/>
    <s v="REJECTED - SCREENING"/>
    <n v="1109161"/>
    <n v="0"/>
    <x v="1"/>
    <n v="0"/>
    <n v="0"/>
    <x v="1"/>
  </r>
  <r>
    <s v="C071"/>
    <s v="CANDIDATE_073"/>
    <s v="FEMALE"/>
    <s v="COMPANY WEBSITE"/>
    <n v="0"/>
    <s v="OPERATIONS"/>
    <s v="KARAN"/>
    <d v="2026-03-14T00:00:00"/>
    <d v="2026-03-17T00:00:00"/>
    <s v="N/A"/>
    <s v="N/A"/>
    <s v="REJECTED - SCREENING"/>
    <n v="451985"/>
    <n v="0"/>
    <x v="1"/>
    <n v="0"/>
    <n v="0"/>
    <x v="1"/>
  </r>
  <r>
    <s v="C072"/>
    <s v="CANDIDATE_074"/>
    <s v="MALE"/>
    <s v="COMPANY WEBSITE"/>
    <n v="0"/>
    <s v="SALES"/>
    <s v="RAHUL"/>
    <d v="2026-03-15T00:00:00"/>
    <d v="2026-03-16T00:00:00"/>
    <d v="2026-03-20T00:00:00"/>
    <d v="2026-03-23T00:00:00"/>
    <s v="HIRED"/>
    <n v="329312"/>
    <n v="302967"/>
    <x v="0"/>
    <n v="23"/>
    <n v="-26345"/>
    <x v="0"/>
  </r>
  <r>
    <s v="C073"/>
    <s v="CANDIDATE_075"/>
    <s v="MALE"/>
    <s v="INDEED"/>
    <n v="3"/>
    <s v="HR"/>
    <s v="ANANYA"/>
    <d v="2026-03-16T00:00:00"/>
    <d v="2026-03-19T00:00:00"/>
    <d v="2026-03-21T00:00:00"/>
    <d v="2026-03-24T00:00:00"/>
    <s v="HIRED"/>
    <n v="582122"/>
    <n v="553016"/>
    <x v="0"/>
    <n v="25"/>
    <n v="-29106"/>
    <x v="0"/>
  </r>
  <r>
    <s v="C074"/>
    <s v="CANDIDATE_076"/>
    <s v="FEMALE"/>
    <s v="REFERRAL"/>
    <n v="2"/>
    <s v="SALES"/>
    <s v="KARAN"/>
    <d v="2026-03-17T00:00:00"/>
    <d v="2026-03-20T00:00:00"/>
    <d v="2026-03-23T00:00:00"/>
    <s v="N/A"/>
    <s v="REJECTED - INTERVIEW"/>
    <n v="312665"/>
    <n v="0"/>
    <x v="3"/>
    <n v="0"/>
    <n v="0"/>
    <x v="3"/>
  </r>
  <r>
    <s v="C075"/>
    <s v="CANDIDATE_077"/>
    <s v="FEMALE"/>
    <s v="INDEED"/>
    <n v="9"/>
    <s v="HR"/>
    <s v="PRIYA"/>
    <d v="2026-03-18T00:00:00"/>
    <d v="2026-03-19T00:00:00"/>
    <d v="2026-03-22T00:00:00"/>
    <d v="2026-03-24T00:00:00"/>
    <s v="OFFER REJECTED"/>
    <n v="457450"/>
    <n v="452876"/>
    <x v="2"/>
    <n v="0"/>
    <n v="-4574"/>
    <x v="2"/>
  </r>
  <r>
    <s v="C076"/>
    <s v="CANDIDATE_078"/>
    <s v="MALE"/>
    <s v="NAUKRI"/>
    <n v="3"/>
    <s v="SALES"/>
    <s v="ANANYA"/>
    <d v="2026-03-19T00:00:00"/>
    <d v="2026-03-20T00:00:00"/>
    <d v="2026-03-22T00:00:00"/>
    <s v="N/A"/>
    <s v="REJECTED - INTERVIEW"/>
    <n v="573454"/>
    <n v="0"/>
    <x v="3"/>
    <n v="0"/>
    <n v="0"/>
    <x v="3"/>
  </r>
  <r>
    <s v="C077"/>
    <s v="CANDIDATE_079"/>
    <s v="FEMALE"/>
    <s v="INDEED"/>
    <n v="8"/>
    <s v="OPERATIONS"/>
    <s v="ANANYA"/>
    <d v="2026-03-20T00:00:00"/>
    <d v="2026-03-21T00:00:00"/>
    <d v="2026-03-24T00:00:00"/>
    <s v="N/A"/>
    <s v="REJECTED - INTERVIEW"/>
    <n v="443406"/>
    <n v="0"/>
    <x v="3"/>
    <n v="0"/>
    <n v="0"/>
    <x v="3"/>
  </r>
  <r>
    <s v="C078"/>
    <s v="CANDIDATE_080"/>
    <s v="FEMALE"/>
    <s v="LINKEDIN"/>
    <n v="7"/>
    <s v="SALES"/>
    <s v="RAHUL"/>
    <d v="2026-03-21T00:00:00"/>
    <d v="2026-03-22T00:00:00"/>
    <d v="2026-03-25T00:00:00"/>
    <d v="2026-03-27T00:00:00"/>
    <s v="HIRED"/>
    <n v="460432"/>
    <n v="451223"/>
    <x v="0"/>
    <n v="23"/>
    <n v="-9209"/>
    <x v="0"/>
  </r>
  <r>
    <s v="C079"/>
    <s v="CANDIDATE_081"/>
    <s v="MALE"/>
    <s v="COMPANY WEBSITE"/>
    <n v="0"/>
    <s v="TECHNOLOGY"/>
    <s v="RAHUL"/>
    <d v="2026-03-22T00:00:00"/>
    <d v="2026-03-24T00:00:00"/>
    <d v="2026-03-28T00:00:00"/>
    <d v="2026-03-30T00:00:00"/>
    <s v="HIRED"/>
    <n v="1158682"/>
    <n v="1089161"/>
    <x v="0"/>
    <n v="21"/>
    <n v="-69521"/>
    <x v="0"/>
  </r>
  <r>
    <s v="C080"/>
    <s v="CANDIDATE_082"/>
    <s v="MALE"/>
    <s v="NAUKRI"/>
    <n v="10"/>
    <s v="SALES"/>
    <s v="ANANYA"/>
    <d v="2026-03-23T00:00:00"/>
    <d v="2026-03-26T00:00:00"/>
    <d v="2026-03-31T00:00:00"/>
    <s v="N/A"/>
    <s v="REJECTED - INTERVIEW"/>
    <n v="557568"/>
    <n v="0"/>
    <x v="3"/>
    <n v="0"/>
    <n v="0"/>
    <x v="3"/>
  </r>
  <r>
    <s v="C081"/>
    <s v="CANDIDATE_083"/>
    <s v="MALE"/>
    <s v="INDEED"/>
    <n v="0"/>
    <s v="SALES"/>
    <s v="RAHUL"/>
    <d v="2026-03-24T00:00:00"/>
    <d v="2026-03-25T00:00:00"/>
    <d v="2026-03-30T00:00:00"/>
    <d v="2026-04-02T00:00:00"/>
    <s v="OFFER REJECTED"/>
    <n v="568488"/>
    <n v="540064"/>
    <x v="2"/>
    <n v="0"/>
    <n v="-28424"/>
    <x v="2"/>
  </r>
  <r>
    <s v="C082"/>
    <s v="CANDIDATE_084"/>
    <s v="FEMALE"/>
    <s v="NAUKRI"/>
    <n v="11"/>
    <s v="TECHNOLOGY"/>
    <s v="ANANYA"/>
    <d v="2026-03-25T00:00:00"/>
    <d v="2026-03-27T00:00:00"/>
    <d v="2026-03-30T00:00:00"/>
    <s v="N/A"/>
    <s v="REJECTED - INTERVIEW"/>
    <n v="620369"/>
    <n v="0"/>
    <x v="3"/>
    <n v="0"/>
    <n v="0"/>
    <x v="3"/>
  </r>
  <r>
    <s v="C083"/>
    <s v="CANDIDATE_085"/>
    <s v="MALE"/>
    <s v="COMPANY WEBSITE"/>
    <n v="5"/>
    <s v="SALES"/>
    <s v="RAHUL"/>
    <d v="2026-03-26T00:00:00"/>
    <d v="2026-03-28T00:00:00"/>
    <s v="N/A"/>
    <s v="N/A"/>
    <s v="REJECTED - SCREENING"/>
    <n v="486003"/>
    <n v="0"/>
    <x v="1"/>
    <n v="0"/>
    <n v="0"/>
    <x v="1"/>
  </r>
  <r>
    <s v="C084"/>
    <s v="CANDIDATE_086"/>
    <s v="FEMALE"/>
    <s v="COMPANY WEBSITE"/>
    <n v="8"/>
    <s v="TECHNOLOGY"/>
    <s v="KARAN"/>
    <d v="2026-03-27T00:00:00"/>
    <d v="2026-03-30T00:00:00"/>
    <s v="N/A"/>
    <s v="N/A"/>
    <s v="REJECTED - SCREENING"/>
    <n v="930296"/>
    <n v="0"/>
    <x v="1"/>
    <n v="0"/>
    <n v="0"/>
    <x v="1"/>
  </r>
  <r>
    <s v="C085"/>
    <s v="CANDIDATE_087"/>
    <s v="FEMALE"/>
    <s v="REFERRAL"/>
    <n v="2"/>
    <s v="HR"/>
    <s v="RAHUL"/>
    <d v="2026-03-28T00:00:00"/>
    <d v="2026-03-29T00:00:00"/>
    <d v="2026-04-01T00:00:00"/>
    <d v="2026-04-04T00:00:00"/>
    <s v="OFFER REJECTED"/>
    <n v="317755"/>
    <n v="289157"/>
    <x v="2"/>
    <n v="0"/>
    <n v="-28598"/>
    <x v="2"/>
  </r>
  <r>
    <s v="C086"/>
    <s v="CANDIDATE_088"/>
    <s v="FEMALE"/>
    <s v="NAUKRI"/>
    <n v="7"/>
    <s v="OPERATIONS"/>
    <s v="KARAN"/>
    <d v="2026-03-29T00:00:00"/>
    <d v="2026-04-01T00:00:00"/>
    <d v="2026-04-06T00:00:00"/>
    <d v="2026-04-07T00:00:00"/>
    <s v="HIRED"/>
    <n v="407687"/>
    <n v="407687"/>
    <x v="0"/>
    <n v="25"/>
    <n v="0"/>
    <x v="0"/>
  </r>
  <r>
    <s v="C087"/>
    <s v="CANDIDATE_089"/>
    <s v="FEMALE"/>
    <s v="LINKEDIN"/>
    <n v="1"/>
    <s v="SALES"/>
    <s v="RAHUL"/>
    <d v="2026-03-30T00:00:00"/>
    <d v="2026-04-01T00:00:00"/>
    <d v="2026-04-05T00:00:00"/>
    <d v="2026-04-08T00:00:00"/>
    <s v="OFFER REJECTED"/>
    <n v="593141"/>
    <n v="539758"/>
    <x v="2"/>
    <n v="0"/>
    <n v="-53383"/>
    <x v="2"/>
  </r>
  <r>
    <s v="C088"/>
    <s v="CANDIDATE_090"/>
    <s v="FEMALE"/>
    <s v="LINKEDIN"/>
    <n v="8"/>
    <s v="TECHNOLOGY"/>
    <s v="KARAN"/>
    <d v="2026-03-31T00:00:00"/>
    <d v="2026-04-01T00:00:00"/>
    <s v="N/A"/>
    <s v="N/A"/>
    <s v="REJECTED - SCREENING"/>
    <n v="945584"/>
    <n v="0"/>
    <x v="1"/>
    <n v="0"/>
    <n v="0"/>
    <x v="1"/>
  </r>
  <r>
    <s v="C089"/>
    <s v="CANDIDATE_091"/>
    <s v="MALE"/>
    <s v="NAUKRI"/>
    <n v="2"/>
    <s v="TECHNOLOGY"/>
    <s v="ANANYA"/>
    <d v="2026-04-01T00:00:00"/>
    <d v="2026-04-03T00:00:00"/>
    <d v="2026-04-08T00:00:00"/>
    <d v="2026-04-11T00:00:00"/>
    <s v="HIRED"/>
    <n v="1120096"/>
    <n v="1008086"/>
    <x v="0"/>
    <n v="30"/>
    <n v="-112010"/>
    <x v="0"/>
  </r>
  <r>
    <s v="C090"/>
    <s v="CANDIDATE_092"/>
    <s v="MALE"/>
    <s v="INDEED"/>
    <n v="10"/>
    <s v="SALES"/>
    <s v="RAHUL"/>
    <d v="2026-04-02T00:00:00"/>
    <d v="2026-04-04T00:00:00"/>
    <s v="N/A"/>
    <s v="N/A"/>
    <s v="REJECTED - SCREENING"/>
    <n v="394875"/>
    <n v="0"/>
    <x v="1"/>
    <n v="0"/>
    <n v="0"/>
    <x v="1"/>
  </r>
  <r>
    <s v="C091"/>
    <s v="CANDIDATE_093"/>
    <s v="MALE"/>
    <s v="COMPANY WEBSITE"/>
    <n v="4"/>
    <s v="TECHNOLOGY"/>
    <s v="ANANYA"/>
    <d v="2026-04-03T00:00:00"/>
    <d v="2026-04-05T00:00:00"/>
    <s v="N/A"/>
    <s v="N/A"/>
    <s v="REJECTED - SCREENING"/>
    <n v="911411"/>
    <n v="0"/>
    <x v="1"/>
    <n v="0"/>
    <n v="0"/>
    <x v="1"/>
  </r>
  <r>
    <s v="C092"/>
    <s v="CANDIDATE_094"/>
    <s v="MALE"/>
    <s v="COMPANY WEBSITE"/>
    <n v="3"/>
    <s v="TECHNOLOGY"/>
    <s v="ANANYA"/>
    <d v="2026-04-04T00:00:00"/>
    <d v="2026-04-05T00:00:00"/>
    <d v="2026-04-10T00:00:00"/>
    <d v="2026-04-11T00:00:00"/>
    <s v="OFFER REJECTED"/>
    <n v="542965"/>
    <n v="521246"/>
    <x v="2"/>
    <n v="0"/>
    <n v="-21719"/>
    <x v="2"/>
  </r>
  <r>
    <s v="C093"/>
    <s v="CANDIDATE_095"/>
    <s v="MALE"/>
    <s v="COMPANY WEBSITE"/>
    <n v="0"/>
    <s v="HR"/>
    <s v="PRIYA"/>
    <d v="2026-04-05T00:00:00"/>
    <d v="2026-04-06T00:00:00"/>
    <s v="N/A"/>
    <s v="N/A"/>
    <s v="REJECTED - SCREENING"/>
    <n v="359368"/>
    <n v="0"/>
    <x v="1"/>
    <n v="0"/>
    <n v="0"/>
    <x v="1"/>
  </r>
  <r>
    <s v="C094"/>
    <s v="CANDIDATE_096"/>
    <s v="FEMALE"/>
    <s v="LINKEDIN"/>
    <n v="12"/>
    <s v="HR"/>
    <s v="KARAN"/>
    <d v="2026-04-06T00:00:00"/>
    <d v="2026-04-08T00:00:00"/>
    <d v="2026-04-12T00:00:00"/>
    <d v="2026-04-13T00:00:00"/>
    <s v="HIRED"/>
    <n v="388109"/>
    <n v="384228"/>
    <x v="0"/>
    <n v="14"/>
    <n v="-3881"/>
    <x v="0"/>
  </r>
  <r>
    <s v="C095"/>
    <s v="CANDIDATE_097"/>
    <s v="FEMALE"/>
    <s v="NAUKRI"/>
    <n v="6"/>
    <s v="HR"/>
    <s v="RAHUL"/>
    <d v="2026-04-07T00:00:00"/>
    <d v="2026-04-10T00:00:00"/>
    <d v="2026-04-14T00:00:00"/>
    <s v="N/A"/>
    <s v="REJECTED - INTERVIEW"/>
    <n v="530382"/>
    <n v="0"/>
    <x v="3"/>
    <n v="0"/>
    <n v="0"/>
    <x v="3"/>
  </r>
  <r>
    <s v="C096"/>
    <s v="CANDIDATE_098"/>
    <s v="MALE"/>
    <s v="LINKEDIN"/>
    <n v="12"/>
    <s v="TECHNOLOGY"/>
    <s v="PRIYA"/>
    <d v="2026-04-08T00:00:00"/>
    <d v="2026-04-11T00:00:00"/>
    <s v="N/A"/>
    <s v="N/A"/>
    <s v="REJECTED - SCREENING"/>
    <n v="776175"/>
    <n v="0"/>
    <x v="1"/>
    <n v="0"/>
    <n v="0"/>
    <x v="1"/>
  </r>
  <r>
    <s v="C097"/>
    <s v="CANDIDATE_099"/>
    <s v="MALE"/>
    <s v="LINKEDIN"/>
    <n v="12"/>
    <s v="TECHNOLOGY"/>
    <s v="PRIYA"/>
    <d v="2026-04-09T00:00:00"/>
    <d v="2026-04-12T00:00:00"/>
    <d v="2026-04-16T00:00:00"/>
    <d v="2026-04-18T00:00:00"/>
    <s v="OFFER REJECTED"/>
    <n v="820726"/>
    <n v="755068"/>
    <x v="2"/>
    <n v="0"/>
    <n v="-65658"/>
    <x v="2"/>
  </r>
  <r>
    <s v="C098"/>
    <s v="CANDIDATE_100"/>
    <s v="FEMALE"/>
    <s v="REFERRAL"/>
    <n v="2"/>
    <s v="TECHNOLOGY"/>
    <s v="PRIYA"/>
    <d v="2026-04-10T00:00:00"/>
    <d v="2026-04-13T00:00:00"/>
    <d v="2026-04-18T00:00:00"/>
    <d v="2026-04-20T00:00:00"/>
    <s v="OFFER REJECTED"/>
    <n v="429996"/>
    <n v="417096"/>
    <x v="2"/>
    <n v="0"/>
    <n v="-12900"/>
    <x v="2"/>
  </r>
  <r>
    <s v="C099"/>
    <s v="CANDIDATE_101"/>
    <s v="FEMALE"/>
    <s v="LINKEDIN"/>
    <n v="8"/>
    <s v="HR"/>
    <s v="RAHUL"/>
    <d v="2026-04-11T00:00:00"/>
    <d v="2026-04-14T00:00:00"/>
    <d v="2026-04-16T00:00:00"/>
    <d v="2026-04-19T00:00:00"/>
    <s v="HIRED"/>
    <n v="417930"/>
    <n v="388675"/>
    <x v="0"/>
    <n v="23"/>
    <n v="-29255"/>
    <x v="0"/>
  </r>
  <r>
    <s v="C100"/>
    <s v="CANDIDATE_102"/>
    <s v="MALE"/>
    <s v="REFERRAL"/>
    <n v="9"/>
    <s v="SALES"/>
    <s v="PRIYA"/>
    <d v="2026-04-12T00:00:00"/>
    <d v="2026-04-14T00:00:00"/>
    <d v="2026-04-17T00:00:00"/>
    <s v="N/A"/>
    <s v="REJECTED - INTERVIEW"/>
    <n v="480956"/>
    <n v="0"/>
    <x v="3"/>
    <n v="0"/>
    <n v="0"/>
    <x v="3"/>
  </r>
  <r>
    <s v="C101"/>
    <s v="CANDIDATE_103"/>
    <s v="FEMALE"/>
    <s v="INDEED"/>
    <n v="1"/>
    <s v="SALES"/>
    <s v="PRIYA"/>
    <d v="2026-04-13T00:00:00"/>
    <d v="2026-04-14T00:00:00"/>
    <d v="2026-04-18T00:00:00"/>
    <s v="N/A"/>
    <s v="REJECTED - INTERVIEW"/>
    <n v="393925"/>
    <n v="0"/>
    <x v="3"/>
    <n v="0"/>
    <n v="0"/>
    <x v="3"/>
  </r>
  <r>
    <s v="C102"/>
    <s v="CANDIDATE_104"/>
    <s v="MALE"/>
    <s v="INDEED"/>
    <n v="6"/>
    <s v="SALES"/>
    <s v="KARAN"/>
    <d v="2026-04-14T00:00:00"/>
    <d v="2026-04-17T00:00:00"/>
    <d v="2026-04-20T00:00:00"/>
    <d v="2026-04-22T00:00:00"/>
    <s v="HIRED"/>
    <n v="539528"/>
    <n v="501761"/>
    <x v="0"/>
    <n v="16"/>
    <n v="-37767"/>
    <x v="0"/>
  </r>
  <r>
    <s v="C103"/>
    <s v="CANDIDATE_105"/>
    <s v="FEMALE"/>
    <s v="REFERRAL"/>
    <n v="5"/>
    <s v="HR"/>
    <s v="KARAN"/>
    <d v="2026-04-15T00:00:00"/>
    <d v="2026-04-18T00:00:00"/>
    <s v="N/A"/>
    <s v="N/A"/>
    <s v="REJECTED - SCREENING"/>
    <n v="357686"/>
    <n v="0"/>
    <x v="1"/>
    <n v="0"/>
    <n v="0"/>
    <x v="1"/>
  </r>
  <r>
    <s v="C104"/>
    <s v="CANDIDATE_106"/>
    <s v="MALE"/>
    <s v="REFERRAL"/>
    <n v="8"/>
    <s v="TECHNOLOGY"/>
    <s v="PRIYA"/>
    <d v="2026-04-16T00:00:00"/>
    <d v="2026-04-19T00:00:00"/>
    <d v="2026-04-21T00:00:00"/>
    <d v="2026-04-23T00:00:00"/>
    <s v="OFFER REJECTED"/>
    <n v="645917"/>
    <n v="587784"/>
    <x v="2"/>
    <n v="0"/>
    <n v="-58133"/>
    <x v="2"/>
  </r>
  <r>
    <s v="C105"/>
    <s v="CANDIDATE_107"/>
    <s v="MALE"/>
    <s v="REFERRAL"/>
    <n v="6"/>
    <s v="TECHNOLOGY"/>
    <s v="KARAN"/>
    <d v="2026-04-17T00:00:00"/>
    <d v="2026-04-20T00:00:00"/>
    <d v="2026-04-25T00:00:00"/>
    <s v="N/A"/>
    <s v="REJECTED - INTERVIEW"/>
    <n v="740989"/>
    <n v="0"/>
    <x v="3"/>
    <n v="0"/>
    <n v="0"/>
    <x v="3"/>
  </r>
  <r>
    <s v="C106"/>
    <s v="CANDIDATE_108"/>
    <s v="MALE"/>
    <s v="NAUKRI"/>
    <n v="5"/>
    <s v="SALES"/>
    <s v="PRIYA"/>
    <d v="2026-04-18T00:00:00"/>
    <d v="2026-04-19T00:00:00"/>
    <s v="N/A"/>
    <s v="N/A"/>
    <s v="REJECTED - SCREENING"/>
    <n v="579145"/>
    <n v="0"/>
    <x v="1"/>
    <n v="0"/>
    <n v="0"/>
    <x v="1"/>
  </r>
  <r>
    <s v="C107"/>
    <s v="CANDIDATE_109"/>
    <s v="FEMALE"/>
    <s v="LINKEDIN"/>
    <n v="8"/>
    <s v="TECHNOLOGY"/>
    <s v="KARAN"/>
    <d v="2026-04-19T00:00:00"/>
    <d v="2026-04-21T00:00:00"/>
    <d v="2026-04-26T00:00:00"/>
    <d v="2026-04-28T00:00:00"/>
    <s v="HIRED"/>
    <n v="681345"/>
    <n v="633651"/>
    <x v="0"/>
    <n v="21"/>
    <n v="-47694"/>
    <x v="0"/>
  </r>
  <r>
    <s v="C108"/>
    <s v="CANDIDATE_110"/>
    <s v="FEMALE"/>
    <s v="REFERRAL"/>
    <n v="6"/>
    <s v="SALES"/>
    <s v="KARAN"/>
    <d v="2026-04-20T00:00:00"/>
    <d v="2026-04-23T00:00:00"/>
    <d v="2026-04-27T00:00:00"/>
    <d v="2026-04-29T00:00:00"/>
    <s v="OFFER REJECTED"/>
    <n v="399210"/>
    <n v="395218"/>
    <x v="2"/>
    <n v="0"/>
    <n v="-3992"/>
    <x v="2"/>
  </r>
  <r>
    <s v="C109"/>
    <s v="CANDIDATE_111"/>
    <s v="MALE"/>
    <s v="NAUKRI"/>
    <n v="2"/>
    <s v="HR"/>
    <s v="ANANYA"/>
    <d v="2026-04-21T00:00:00"/>
    <d v="2026-04-23T00:00:00"/>
    <d v="2026-04-26T00:00:00"/>
    <s v="N/A"/>
    <s v="REJECTED - INTERVIEW"/>
    <n v="422960"/>
    <n v="0"/>
    <x v="3"/>
    <n v="0"/>
    <n v="0"/>
    <x v="3"/>
  </r>
  <r>
    <s v="C110"/>
    <s v="CANDIDATE_112"/>
    <s v="MALE"/>
    <s v="NAUKRI"/>
    <n v="12"/>
    <s v="TECHNOLOGY"/>
    <s v="PRIYA"/>
    <d v="2026-04-22T00:00:00"/>
    <d v="2026-04-25T00:00:00"/>
    <d v="2026-04-27T00:00:00"/>
    <d v="2026-04-29T00:00:00"/>
    <s v="HIRED"/>
    <n v="1161186"/>
    <n v="1103127"/>
    <x v="0"/>
    <n v="18"/>
    <n v="-58059"/>
    <x v="0"/>
  </r>
  <r>
    <s v="C111"/>
    <s v="CANDIDATE_113"/>
    <s v="FEMALE"/>
    <s v="LINKEDIN"/>
    <n v="3"/>
    <s v="TECHNOLOGY"/>
    <s v="KARAN"/>
    <d v="2026-04-23T00:00:00"/>
    <d v="2026-04-25T00:00:00"/>
    <s v="N/A"/>
    <s v="N/A"/>
    <s v="REJECTED - SCREENING"/>
    <n v="897659"/>
    <n v="0"/>
    <x v="1"/>
    <n v="0"/>
    <n v="0"/>
    <x v="1"/>
  </r>
  <r>
    <s v="C112"/>
    <s v="CANDIDATE_114"/>
    <s v="MALE"/>
    <s v="COMPANY WEBSITE"/>
    <n v="12"/>
    <s v="OPERATIONS"/>
    <s v="RAHUL"/>
    <d v="2026-04-24T00:00:00"/>
    <d v="2026-04-27T00:00:00"/>
    <d v="2026-04-29T00:00:00"/>
    <s v="N/A"/>
    <s v="REJECTED - INTERVIEW"/>
    <n v="679361"/>
    <n v="0"/>
    <x v="3"/>
    <n v="0"/>
    <n v="0"/>
    <x v="3"/>
  </r>
  <r>
    <s v="C113"/>
    <s v="CANDIDATE_115"/>
    <s v="MALE"/>
    <s v="NAUKRI"/>
    <n v="0"/>
    <s v="HR"/>
    <s v="ANANYA"/>
    <d v="2026-04-25T00:00:00"/>
    <d v="2026-04-26T00:00:00"/>
    <d v="2026-04-30T00:00:00"/>
    <d v="2026-05-03T00:00:00"/>
    <s v="OFFER REJECTED"/>
    <n v="406451"/>
    <n v="382064"/>
    <x v="2"/>
    <n v="0"/>
    <n v="-24387"/>
    <x v="2"/>
  </r>
  <r>
    <s v="C114"/>
    <s v="CANDIDATE_116"/>
    <s v="MALE"/>
    <s v="LINKEDIN"/>
    <n v="11"/>
    <s v="SALES"/>
    <s v="ANANYA"/>
    <d v="2026-04-26T00:00:00"/>
    <d v="2026-04-28T00:00:00"/>
    <d v="2026-05-03T00:00:00"/>
    <d v="2026-05-05T00:00:00"/>
    <s v="OFFER REJECTED"/>
    <n v="464431"/>
    <n v="441209"/>
    <x v="2"/>
    <n v="0"/>
    <n v="-23222"/>
    <x v="2"/>
  </r>
  <r>
    <s v="C115"/>
    <s v="CANDIDATE_117"/>
    <s v="FEMALE"/>
    <s v="INDEED"/>
    <n v="1"/>
    <s v="OPERATIONS"/>
    <s v="ANANYA"/>
    <d v="2026-04-27T00:00:00"/>
    <d v="2026-04-30T00:00:00"/>
    <d v="2026-05-02T00:00:00"/>
    <s v="N/A"/>
    <s v="REJECTED - INTERVIEW"/>
    <n v="650240"/>
    <n v="0"/>
    <x v="3"/>
    <n v="0"/>
    <n v="0"/>
    <x v="3"/>
  </r>
  <r>
    <s v="C116"/>
    <s v="CANDIDATE_118"/>
    <s v="MALE"/>
    <s v="LINKEDIN"/>
    <n v="6"/>
    <s v="HR"/>
    <s v="PRIYA"/>
    <d v="2026-04-28T00:00:00"/>
    <d v="2026-05-01T00:00:00"/>
    <d v="2026-05-06T00:00:00"/>
    <d v="2026-05-09T00:00:00"/>
    <s v="OFFER REJECTED"/>
    <n v="351090"/>
    <n v="323003"/>
    <x v="2"/>
    <n v="0"/>
    <n v="-28087"/>
    <x v="2"/>
  </r>
  <r>
    <s v="C117"/>
    <s v="CANDIDATE_119"/>
    <s v="FEMALE"/>
    <s v="NAUKRI"/>
    <n v="3"/>
    <s v="OPERATIONS"/>
    <s v="PRIYA"/>
    <d v="2026-04-29T00:00:00"/>
    <d v="2026-05-02T00:00:00"/>
    <d v="2026-05-04T00:00:00"/>
    <d v="2026-05-05T00:00:00"/>
    <s v="OFFER REJECTED"/>
    <n v="451876"/>
    <n v="433801"/>
    <x v="2"/>
    <n v="0"/>
    <n v="-18075"/>
    <x v="2"/>
  </r>
  <r>
    <s v="C118"/>
    <s v="CANDIDATE_120"/>
    <s v="MALE"/>
    <s v="NAUKRI"/>
    <n v="2"/>
    <s v="HR"/>
    <s v="PRIYA"/>
    <d v="2026-04-30T00:00:00"/>
    <d v="2026-05-01T00:00:00"/>
    <d v="2026-05-06T00:00:00"/>
    <s v="N/A"/>
    <s v="REJECTED - INTERVIEW"/>
    <n v="522700"/>
    <n v="0"/>
    <x v="3"/>
    <n v="0"/>
    <n v="0"/>
    <x v="3"/>
  </r>
  <r>
    <s v="C119"/>
    <s v="CANDIDATE_121"/>
    <s v="MALE"/>
    <s v="REFERRAL"/>
    <n v="6"/>
    <s v="OPERATIONS"/>
    <s v="KARAN"/>
    <d v="2026-05-01T00:00:00"/>
    <d v="2026-05-03T00:00:00"/>
    <d v="2026-05-05T00:00:00"/>
    <d v="2026-05-08T00:00:00"/>
    <s v="OFFER REJECTED"/>
    <n v="394495"/>
    <n v="382660"/>
    <x v="2"/>
    <n v="0"/>
    <n v="-11835"/>
    <x v="2"/>
  </r>
  <r>
    <s v="C120"/>
    <s v="CANDIDATE_122"/>
    <s v="FEMALE"/>
    <s v="LINKEDIN"/>
    <n v="10"/>
    <s v="TECHNOLOGY"/>
    <s v="RAHUL"/>
    <d v="2026-05-02T00:00:00"/>
    <d v="2026-05-03T00:00:00"/>
    <s v="N/A"/>
    <s v="N/A"/>
    <s v="REJECTED - SCREENING"/>
    <n v="814828"/>
    <n v="0"/>
    <x v="1"/>
    <n v="0"/>
    <n v="0"/>
    <x v="1"/>
  </r>
  <r>
    <s v="C121"/>
    <s v="CANDIDATE_123"/>
    <s v="FEMALE"/>
    <s v="LINKEDIN"/>
    <n v="1"/>
    <s v="OPERATIONS"/>
    <s v="KARAN"/>
    <d v="2026-05-03T00:00:00"/>
    <d v="2026-05-06T00:00:00"/>
    <s v="N/A"/>
    <s v="N/A"/>
    <s v="REJECTED - SCREENING"/>
    <n v="461909"/>
    <n v="0"/>
    <x v="1"/>
    <n v="0"/>
    <n v="0"/>
    <x v="1"/>
  </r>
  <r>
    <s v="C122"/>
    <s v="CANDIDATE_124"/>
    <s v="FEMALE"/>
    <s v="INDEED"/>
    <n v="2"/>
    <s v="OPERATIONS"/>
    <s v="PRIYA"/>
    <d v="2026-05-04T00:00:00"/>
    <d v="2026-05-06T00:00:00"/>
    <d v="2026-05-11T00:00:00"/>
    <d v="2026-05-12T00:00:00"/>
    <s v="OFFER REJECTED"/>
    <n v="660681"/>
    <n v="621040"/>
    <x v="2"/>
    <n v="0"/>
    <n v="-39641"/>
    <x v="2"/>
  </r>
  <r>
    <s v="C123"/>
    <s v="CANDIDATE_125"/>
    <s v="FEMALE"/>
    <s v="LINKEDIN"/>
    <n v="5"/>
    <s v="SALES"/>
    <s v="RAHUL"/>
    <d v="2026-05-05T00:00:00"/>
    <d v="2026-05-08T00:00:00"/>
    <s v="N/A"/>
    <s v="N/A"/>
    <s v="REJECTED - SCREENING"/>
    <n v="583986"/>
    <n v="0"/>
    <x v="1"/>
    <n v="0"/>
    <n v="0"/>
    <x v="1"/>
  </r>
  <r>
    <s v="C124"/>
    <s v="CANDIDATE_126"/>
    <s v="FEMALE"/>
    <s v="NAUKRI"/>
    <n v="6"/>
    <s v="SALES"/>
    <s v="PRIYA"/>
    <d v="2026-05-06T00:00:00"/>
    <d v="2026-05-09T00:00:00"/>
    <s v="N/A"/>
    <s v="N/A"/>
    <s v="REJECTED - SCREENING"/>
    <n v="424243"/>
    <n v="0"/>
    <x v="1"/>
    <n v="0"/>
    <n v="0"/>
    <x v="1"/>
  </r>
  <r>
    <s v="C125"/>
    <s v="CANDIDATE_127"/>
    <s v="FEMALE"/>
    <s v="NAUKRI"/>
    <n v="0"/>
    <s v="OPERATIONS"/>
    <s v="KARAN"/>
    <d v="2026-05-07T00:00:00"/>
    <d v="2026-05-08T00:00:00"/>
    <d v="2026-05-13T00:00:00"/>
    <s v="N/A"/>
    <s v="REJECTED - INTERVIEW"/>
    <n v="566189"/>
    <n v="0"/>
    <x v="3"/>
    <n v="0"/>
    <n v="0"/>
    <x v="3"/>
  </r>
  <r>
    <s v="C126"/>
    <s v="CANDIDATE_128"/>
    <s v="FEMALE"/>
    <s v="NAUKRI"/>
    <n v="12"/>
    <s v="HR"/>
    <s v="ANANYA"/>
    <d v="2026-05-08T00:00:00"/>
    <d v="2026-05-11T00:00:00"/>
    <d v="2026-05-16T00:00:00"/>
    <d v="2026-05-18T00:00:00"/>
    <s v="HIRED"/>
    <n v="320997"/>
    <n v="292107"/>
    <x v="0"/>
    <n v="19"/>
    <n v="-28890"/>
    <x v="0"/>
  </r>
  <r>
    <s v="C127"/>
    <s v="CANDIDATE_129"/>
    <s v="MALE"/>
    <s v="LINKEDIN"/>
    <n v="4"/>
    <s v="HR"/>
    <s v="KARAN"/>
    <d v="2026-05-09T00:00:00"/>
    <d v="2026-05-11T00:00:00"/>
    <d v="2026-05-13T00:00:00"/>
    <s v="N/A"/>
    <s v="REJECTED - INTERVIEW"/>
    <n v="390666"/>
    <n v="0"/>
    <x v="3"/>
    <n v="0"/>
    <n v="0"/>
    <x v="3"/>
  </r>
  <r>
    <s v="C128"/>
    <s v="CANDIDATE_130"/>
    <s v="FEMALE"/>
    <s v="REFERRAL"/>
    <n v="10"/>
    <s v="TECHNOLOGY"/>
    <s v="PRIYA"/>
    <d v="2026-05-10T00:00:00"/>
    <d v="2026-05-11T00:00:00"/>
    <d v="2026-05-15T00:00:00"/>
    <d v="2026-05-17T00:00:00"/>
    <s v="OFFER REJECTED"/>
    <n v="447399"/>
    <n v="407133"/>
    <x v="2"/>
    <n v="0"/>
    <n v="-40266"/>
    <x v="2"/>
  </r>
  <r>
    <s v="C129"/>
    <s v="CANDIDATE_131"/>
    <s v="MALE"/>
    <s v="COMPANY WEBSITE"/>
    <n v="3"/>
    <s v="TECHNOLOGY"/>
    <s v="ANANYA"/>
    <d v="2026-05-11T00:00:00"/>
    <d v="2026-05-13T00:00:00"/>
    <d v="2026-05-17T00:00:00"/>
    <s v="N/A"/>
    <s v="REJECTED - INTERVIEW"/>
    <n v="505520"/>
    <n v="0"/>
    <x v="3"/>
    <n v="0"/>
    <n v="0"/>
    <x v="3"/>
  </r>
  <r>
    <s v="C130"/>
    <s v="CANDIDATE_132"/>
    <s v="MALE"/>
    <s v="NAUKRI"/>
    <n v="2"/>
    <s v="TECHNOLOGY"/>
    <s v="PRIYA"/>
    <d v="2026-05-12T00:00:00"/>
    <d v="2026-05-14T00:00:00"/>
    <s v="N/A"/>
    <s v="N/A"/>
    <s v="REJECTED - SCREENING"/>
    <n v="390353"/>
    <n v="0"/>
    <x v="1"/>
    <n v="0"/>
    <n v="0"/>
    <x v="1"/>
  </r>
  <r>
    <s v="C131"/>
    <s v="CANDIDATE_133"/>
    <s v="FEMALE"/>
    <s v="INDEED"/>
    <n v="0"/>
    <s v="TECHNOLOGY"/>
    <s v="RAHUL"/>
    <d v="2026-05-13T00:00:00"/>
    <d v="2026-05-16T00:00:00"/>
    <d v="2026-05-18T00:00:00"/>
    <s v="N/A"/>
    <s v="REJECTED - INTERVIEW"/>
    <n v="1115489"/>
    <n v="0"/>
    <x v="3"/>
    <n v="0"/>
    <n v="0"/>
    <x v="3"/>
  </r>
  <r>
    <s v="C132"/>
    <s v="CANDIDATE_134"/>
    <s v="MALE"/>
    <s v="NAUKRI"/>
    <n v="3"/>
    <s v="OPERATIONS"/>
    <s v="PRIYA"/>
    <d v="2026-05-14T00:00:00"/>
    <d v="2026-05-17T00:00:00"/>
    <d v="2026-05-22T00:00:00"/>
    <d v="2026-05-25T00:00:00"/>
    <s v="OFFER REJECTED"/>
    <n v="473573"/>
    <n v="449894"/>
    <x v="2"/>
    <n v="0"/>
    <n v="-23679"/>
    <x v="2"/>
  </r>
  <r>
    <s v="C133"/>
    <s v="CANDIDATE_135"/>
    <s v="MALE"/>
    <s v="REFERRAL"/>
    <n v="6"/>
    <s v="TECHNOLOGY"/>
    <s v="ANANYA"/>
    <d v="2026-05-15T00:00:00"/>
    <d v="2026-05-17T00:00:00"/>
    <s v="N/A"/>
    <s v="N/A"/>
    <s v="REJECTED - SCREENING"/>
    <n v="519339"/>
    <n v="0"/>
    <x v="1"/>
    <n v="0"/>
    <n v="0"/>
    <x v="1"/>
  </r>
  <r>
    <s v="C134"/>
    <s v="CANDIDATE_136"/>
    <s v="MALE"/>
    <s v="REFERRAL"/>
    <n v="11"/>
    <s v="OPERATIONS"/>
    <s v="KARAN"/>
    <d v="2026-05-16T00:00:00"/>
    <d v="2026-05-17T00:00:00"/>
    <d v="2026-05-22T00:00:00"/>
    <d v="2026-05-25T00:00:00"/>
    <s v="OFFER REJECTED"/>
    <n v="656406"/>
    <n v="597329"/>
    <x v="2"/>
    <n v="0"/>
    <n v="-59077"/>
    <x v="2"/>
  </r>
  <r>
    <s v="C135"/>
    <s v="CANDIDATE_137"/>
    <s v="MALE"/>
    <s v="INDEED"/>
    <n v="1"/>
    <s v="HR"/>
    <s v="PRIYA"/>
    <d v="2026-05-17T00:00:00"/>
    <d v="2026-05-20T00:00:00"/>
    <s v="N/A"/>
    <s v="N/A"/>
    <s v="REJECTED - SCREENING"/>
    <n v="373350"/>
    <n v="0"/>
    <x v="1"/>
    <n v="0"/>
    <n v="0"/>
    <x v="1"/>
  </r>
  <r>
    <s v="C136"/>
    <s v="CANDIDATE_139"/>
    <s v="FEMALE"/>
    <s v="NAUKRI"/>
    <n v="5"/>
    <s v="OPERATIONS"/>
    <s v="PRIYA"/>
    <d v="2026-05-19T00:00:00"/>
    <d v="2026-05-20T00:00:00"/>
    <s v="N/A"/>
    <s v="N/A"/>
    <s v="REJECTED - SCREENING"/>
    <n v="562173"/>
    <n v="0"/>
    <x v="1"/>
    <n v="0"/>
    <n v="0"/>
    <x v="1"/>
  </r>
  <r>
    <s v="C137"/>
    <s v="CANDIDATE_140"/>
    <s v="FEMALE"/>
    <s v="COMPANY WEBSITE"/>
    <n v="1"/>
    <s v="SALES"/>
    <s v="ANANYA"/>
    <d v="2026-05-20T00:00:00"/>
    <d v="2026-05-23T00:00:00"/>
    <s v="N/A"/>
    <s v="N/A"/>
    <s v="REJECTED - SCREENING"/>
    <n v="321081"/>
    <n v="0"/>
    <x v="1"/>
    <n v="0"/>
    <n v="0"/>
    <x v="1"/>
  </r>
  <r>
    <s v="C138"/>
    <s v="CANDIDATE_141"/>
    <s v="FEMALE"/>
    <s v="COMPANY WEBSITE"/>
    <n v="9"/>
    <s v="SALES"/>
    <s v="RAHUL"/>
    <d v="2026-05-21T00:00:00"/>
    <d v="2026-05-23T00:00:00"/>
    <d v="2026-05-25T00:00:00"/>
    <d v="2026-05-27T00:00:00"/>
    <s v="HIRED"/>
    <n v="572605"/>
    <n v="521071"/>
    <x v="0"/>
    <n v="19"/>
    <n v="-51534"/>
    <x v="0"/>
  </r>
  <r>
    <s v="C139"/>
    <s v="CANDIDATE_142"/>
    <s v="MALE"/>
    <s v="INDEED"/>
    <n v="12"/>
    <s v="HR"/>
    <s v="ANANYA"/>
    <d v="2026-05-22T00:00:00"/>
    <d v="2026-05-25T00:00:00"/>
    <d v="2026-05-29T00:00:00"/>
    <d v="2026-05-30T00:00:00"/>
    <s v="OFFER REJECTED"/>
    <n v="533437"/>
    <n v="506765"/>
    <x v="2"/>
    <n v="0"/>
    <n v="-26672"/>
    <x v="2"/>
  </r>
  <r>
    <s v="C140"/>
    <s v="CANDIDATE_143"/>
    <s v="MALE"/>
    <s v="COMPANY WEBSITE"/>
    <n v="8"/>
    <s v="TECHNOLOGY"/>
    <s v="PRIYA"/>
    <d v="2026-05-23T00:00:00"/>
    <d v="2026-05-25T00:00:00"/>
    <d v="2026-05-30T00:00:00"/>
    <s v="N/A"/>
    <s v="REJECTED - INTERVIEW"/>
    <n v="1076985"/>
    <n v="0"/>
    <x v="3"/>
    <n v="0"/>
    <n v="0"/>
    <x v="3"/>
  </r>
  <r>
    <s v="C141"/>
    <s v="CANDIDATE_144"/>
    <s v="FEMALE"/>
    <s v="REFERRAL"/>
    <n v="8"/>
    <s v="SALES"/>
    <s v="RAHUL"/>
    <d v="2026-05-24T00:00:00"/>
    <d v="2026-05-27T00:00:00"/>
    <d v="2026-06-01T00:00:00"/>
    <d v="2026-06-04T00:00:00"/>
    <s v="OFFER REJECTED"/>
    <n v="590752"/>
    <n v="584844"/>
    <x v="2"/>
    <n v="0"/>
    <n v="-5908"/>
    <x v="2"/>
  </r>
  <r>
    <s v="C142"/>
    <s v="CANDIDATE_145"/>
    <s v="MALE"/>
    <s v="INDEED"/>
    <n v="11"/>
    <s v="TECHNOLOGY"/>
    <s v="PRIYA"/>
    <d v="2026-05-25T00:00:00"/>
    <d v="2026-05-27T00:00:00"/>
    <s v="N/A"/>
    <s v="N/A"/>
    <s v="REJECTED - SCREENING"/>
    <n v="440716"/>
    <n v="0"/>
    <x v="1"/>
    <n v="0"/>
    <n v="0"/>
    <x v="1"/>
  </r>
  <r>
    <s v="C143"/>
    <s v="CANDIDATE_146"/>
    <s v="FEMALE"/>
    <s v="INDEED"/>
    <n v="6"/>
    <s v="SALES"/>
    <s v="ANANYA"/>
    <d v="2026-05-26T00:00:00"/>
    <d v="2026-05-29T00:00:00"/>
    <d v="2026-06-01T00:00:00"/>
    <d v="2026-06-03T00:00:00"/>
    <s v="HIRED"/>
    <n v="436129"/>
    <n v="431768"/>
    <x v="0"/>
    <n v="21"/>
    <n v="-4361"/>
    <x v="0"/>
  </r>
  <r>
    <s v="C144"/>
    <s v="CANDIDATE_147"/>
    <s v="FEMALE"/>
    <s v="LINKEDIN"/>
    <n v="8"/>
    <s v="TECHNOLOGY"/>
    <s v="ANANYA"/>
    <d v="2026-05-27T00:00:00"/>
    <d v="2026-05-30T00:00:00"/>
    <d v="2026-06-04T00:00:00"/>
    <s v="N/A"/>
    <s v="REJECTED - INTERVIEW"/>
    <n v="1148196"/>
    <n v="0"/>
    <x v="3"/>
    <n v="0"/>
    <n v="0"/>
    <x v="3"/>
  </r>
  <r>
    <s v="C145"/>
    <s v="CANDIDATE_148"/>
    <s v="MALE"/>
    <s v="COMPANY WEBSITE"/>
    <n v="7"/>
    <s v="TECHNOLOGY"/>
    <s v="KARAN"/>
    <d v="2026-05-28T00:00:00"/>
    <d v="2026-05-29T00:00:00"/>
    <d v="2026-05-31T00:00:00"/>
    <s v="N/A"/>
    <s v="REJECTED - INTERVIEW"/>
    <n v="1193421"/>
    <n v="0"/>
    <x v="3"/>
    <n v="0"/>
    <n v="0"/>
    <x v="3"/>
  </r>
  <r>
    <s v="C146"/>
    <s v="CANDIDATE_149"/>
    <s v="MALE"/>
    <s v="NAUKRI"/>
    <n v="9"/>
    <s v="OPERATIONS"/>
    <s v="PRIYA"/>
    <d v="2026-05-29T00:00:00"/>
    <d v="2026-05-30T00:00:00"/>
    <d v="2026-06-03T00:00:00"/>
    <d v="2026-06-05T00:00:00"/>
    <s v="HIRED"/>
    <n v="617235"/>
    <n v="592546"/>
    <x v="0"/>
    <n v="25"/>
    <n v="-24689"/>
    <x v="0"/>
  </r>
  <r>
    <s v="C147"/>
    <s v="CANDIDATE_150"/>
    <s v="FEMALE"/>
    <s v="NAUKRI"/>
    <n v="3"/>
    <s v="TECHNOLOGY"/>
    <s v="ANANYA"/>
    <d v="2026-05-30T00:00:00"/>
    <d v="2026-06-02T00:00:00"/>
    <s v="N/A"/>
    <s v="N/A"/>
    <s v="REJECTED - SCREENING"/>
    <n v="764885"/>
    <n v="0"/>
    <x v="1"/>
    <n v="0"/>
    <n v="0"/>
    <x v="1"/>
  </r>
  <r>
    <s v="C148"/>
    <s v="CANDIDATE_151"/>
    <s v="FEMALE"/>
    <s v="INDEED"/>
    <n v="4"/>
    <s v="HR"/>
    <s v="KARAN"/>
    <d v="2026-05-31T00:00:00"/>
    <d v="2026-06-01T00:00:00"/>
    <s v="N/A"/>
    <s v="N/A"/>
    <s v="REJECTED - SCREENING"/>
    <n v="487748"/>
    <n v="0"/>
    <x v="1"/>
    <n v="0"/>
    <n v="0"/>
    <x v="1"/>
  </r>
  <r>
    <s v="C149"/>
    <s v="CANDIDATE_152"/>
    <s v="MALE"/>
    <s v="INDEED"/>
    <n v="12"/>
    <s v="HR"/>
    <s v="ANANYA"/>
    <d v="2026-06-01T00:00:00"/>
    <d v="2026-06-03T00:00:00"/>
    <d v="2026-06-08T00:00:00"/>
    <d v="2026-06-09T00:00:00"/>
    <s v="HIRED"/>
    <n v="545674"/>
    <n v="534761"/>
    <x v="0"/>
    <n v="22"/>
    <n v="-10913"/>
    <x v="0"/>
  </r>
  <r>
    <s v="C150"/>
    <s v="CANDIDATE_153"/>
    <s v="MALE"/>
    <s v="COMPANY WEBSITE"/>
    <n v="7"/>
    <s v="HR"/>
    <s v="PRIYA"/>
    <d v="2026-06-02T00:00:00"/>
    <d v="2026-06-04T00:00:00"/>
    <d v="2026-06-07T00:00:00"/>
    <s v="N/A"/>
    <s v="REJECTED - INTERVIEW"/>
    <n v="343332"/>
    <n v="0"/>
    <x v="3"/>
    <n v="0"/>
    <n v="0"/>
    <x v="3"/>
  </r>
  <r>
    <s v="C151"/>
    <s v="CANDIDATE_154"/>
    <s v="FEMALE"/>
    <s v="NAUKRI"/>
    <n v="0"/>
    <s v="SALES"/>
    <s v="KARAN"/>
    <d v="2026-06-03T00:00:00"/>
    <d v="2026-06-04T00:00:00"/>
    <s v="N/A"/>
    <s v="N/A"/>
    <s v="REJECTED - SCREENING"/>
    <n v="344574"/>
    <n v="0"/>
    <x v="1"/>
    <n v="0"/>
    <n v="0"/>
    <x v="1"/>
  </r>
  <r>
    <s v="C152"/>
    <s v="CANDIDATE_155"/>
    <s v="FEMALE"/>
    <s v="NAUKRI"/>
    <n v="0"/>
    <s v="SALES"/>
    <s v="KARAN"/>
    <d v="2026-06-04T00:00:00"/>
    <d v="2026-06-06T00:00:00"/>
    <d v="2026-06-11T00:00:00"/>
    <d v="2026-06-12T00:00:00"/>
    <s v="OFFER REJECTED"/>
    <n v="544671"/>
    <n v="495651"/>
    <x v="2"/>
    <n v="0"/>
    <n v="-49020"/>
    <x v="2"/>
  </r>
  <r>
    <s v="C153"/>
    <s v="CANDIDATE_156"/>
    <s v="FEMALE"/>
    <s v="COMPANY WEBSITE"/>
    <n v="6"/>
    <s v="TECHNOLOGY"/>
    <s v="KARAN"/>
    <d v="2026-06-05T00:00:00"/>
    <d v="2026-06-06T00:00:00"/>
    <d v="2026-06-11T00:00:00"/>
    <d v="2026-06-13T00:00:00"/>
    <s v="HIRED"/>
    <n v="583124"/>
    <n v="571462"/>
    <x v="0"/>
    <n v="19"/>
    <n v="-11662"/>
    <x v="0"/>
  </r>
  <r>
    <s v="C154"/>
    <s v="CANDIDATE_157"/>
    <s v="MALE"/>
    <s v="REFERRAL"/>
    <n v="9"/>
    <s v="SALES"/>
    <s v="KARAN"/>
    <d v="2026-06-06T00:00:00"/>
    <d v="2026-06-09T00:00:00"/>
    <d v="2026-06-13T00:00:00"/>
    <d v="2026-06-16T00:00:00"/>
    <s v="HIRED"/>
    <n v="503893"/>
    <n v="488776"/>
    <x v="0"/>
    <n v="18"/>
    <n v="-15117"/>
    <x v="0"/>
  </r>
  <r>
    <s v="C155"/>
    <s v="CANDIDATE_158"/>
    <s v="FEMALE"/>
    <s v="NAUKRI"/>
    <n v="9"/>
    <s v="TECHNOLOGY"/>
    <s v="ANANYA"/>
    <d v="2026-06-07T00:00:00"/>
    <d v="2026-06-09T00:00:00"/>
    <d v="2026-06-14T00:00:00"/>
    <d v="2026-06-16T00:00:00"/>
    <s v="OFFER REJECTED"/>
    <n v="1183782"/>
    <n v="1171944"/>
    <x v="2"/>
    <n v="0"/>
    <n v="-11838"/>
    <x v="2"/>
  </r>
  <r>
    <s v="C156"/>
    <s v="CANDIDATE_159"/>
    <s v="MALE"/>
    <s v="INDEED"/>
    <n v="10"/>
    <s v="TECHNOLOGY"/>
    <s v="PRIYA"/>
    <d v="2026-06-08T00:00:00"/>
    <d v="2026-06-09T00:00:00"/>
    <d v="2026-06-11T00:00:00"/>
    <s v="N/A"/>
    <s v="REJECTED - INTERVIEW"/>
    <n v="1119004"/>
    <n v="0"/>
    <x v="3"/>
    <n v="0"/>
    <n v="0"/>
    <x v="3"/>
  </r>
  <r>
    <s v="C157"/>
    <s v="CANDIDATE_160"/>
    <s v="MALE"/>
    <s v="INDEED"/>
    <n v="1"/>
    <s v="SALES"/>
    <s v="RAHUL"/>
    <d v="2026-06-09T00:00:00"/>
    <d v="2026-06-10T00:00:00"/>
    <d v="2026-06-13T00:00:00"/>
    <d v="2026-06-15T00:00:00"/>
    <s v="HIRED"/>
    <n v="562905"/>
    <n v="517873"/>
    <x v="0"/>
    <n v="16"/>
    <n v="-45032"/>
    <x v="0"/>
  </r>
  <r>
    <s v="C158"/>
    <s v="CANDIDATE_161"/>
    <s v="MALE"/>
    <s v="LINKEDIN"/>
    <n v="11"/>
    <s v="OPERATIONS"/>
    <s v="ANANYA"/>
    <d v="2026-06-10T00:00:00"/>
    <d v="2026-06-13T00:00:00"/>
    <d v="2026-06-16T00:00:00"/>
    <d v="2026-06-18T00:00:00"/>
    <s v="HIRED"/>
    <n v="406150"/>
    <n v="377720"/>
    <x v="0"/>
    <n v="23"/>
    <n v="-28430"/>
    <x v="0"/>
  </r>
  <r>
    <s v="C159"/>
    <s v="CANDIDATE_162"/>
    <s v="MALE"/>
    <s v="INDEED"/>
    <n v="9"/>
    <s v="SALES"/>
    <s v="KARAN"/>
    <d v="2026-06-11T00:00:00"/>
    <d v="2026-06-13T00:00:00"/>
    <d v="2026-06-18T00:00:00"/>
    <d v="2026-06-21T00:00:00"/>
    <s v="OFFER REJECTED"/>
    <n v="393506"/>
    <n v="393506"/>
    <x v="2"/>
    <n v="0"/>
    <n v="0"/>
    <x v="2"/>
  </r>
  <r>
    <s v="C160"/>
    <s v="CANDIDATE_163"/>
    <s v="FEMALE"/>
    <s v="COMPANY WEBSITE"/>
    <n v="12"/>
    <s v="SALES"/>
    <s v="PRIYA"/>
    <d v="2026-06-12T00:00:00"/>
    <d v="2026-06-15T00:00:00"/>
    <d v="2026-06-18T00:00:00"/>
    <s v="N/A"/>
    <s v="REJECTED - INTERVIEW"/>
    <n v="560701"/>
    <n v="0"/>
    <x v="3"/>
    <n v="0"/>
    <n v="0"/>
    <x v="3"/>
  </r>
  <r>
    <s v="C161"/>
    <s v="CANDIDATE_164"/>
    <s v="FEMALE"/>
    <s v="INDEED"/>
    <n v="8"/>
    <s v="OPERATIONS"/>
    <s v="ANANYA"/>
    <d v="2026-06-13T00:00:00"/>
    <d v="2026-06-15T00:00:00"/>
    <s v="N/A"/>
    <s v="N/A"/>
    <s v="REJECTED - SCREENING"/>
    <n v="395980"/>
    <n v="0"/>
    <x v="1"/>
    <n v="0"/>
    <n v="0"/>
    <x v="1"/>
  </r>
  <r>
    <s v="C162"/>
    <s v="CANDIDATE_165"/>
    <s v="MALE"/>
    <s v="INDEED"/>
    <n v="1"/>
    <s v="SALES"/>
    <s v="ANANYA"/>
    <d v="2026-06-14T00:00:00"/>
    <d v="2026-06-15T00:00:00"/>
    <d v="2026-06-17T00:00:00"/>
    <s v="N/A"/>
    <s v="REJECTED - INTERVIEW"/>
    <n v="452346"/>
    <n v="0"/>
    <x v="3"/>
    <n v="0"/>
    <n v="0"/>
    <x v="3"/>
  </r>
  <r>
    <s v="C163"/>
    <s v="CANDIDATE_166"/>
    <s v="FEMALE"/>
    <s v="NAUKRI"/>
    <n v="8"/>
    <s v="HR"/>
    <s v="RAHUL"/>
    <d v="2026-06-15T00:00:00"/>
    <d v="2026-06-16T00:00:00"/>
    <d v="2026-06-18T00:00:00"/>
    <d v="2026-06-20T00:00:00"/>
    <s v="OFFER REJECTED"/>
    <n v="573623"/>
    <n v="521997"/>
    <x v="2"/>
    <n v="0"/>
    <n v="-51626"/>
    <x v="2"/>
  </r>
  <r>
    <s v="C164"/>
    <s v="CANDIDATE_167"/>
    <s v="MALE"/>
    <s v="NAUKRI"/>
    <n v="4"/>
    <s v="HR"/>
    <s v="ANANYA"/>
    <d v="2026-06-16T00:00:00"/>
    <d v="2026-06-18T00:00:00"/>
    <s v="N/A"/>
    <s v="N/A"/>
    <s v="REJECTED - SCREENING"/>
    <n v="424961"/>
    <n v="0"/>
    <x v="1"/>
    <n v="0"/>
    <n v="0"/>
    <x v="1"/>
  </r>
  <r>
    <s v="C165"/>
    <s v="CANDIDATE_168"/>
    <s v="FEMALE"/>
    <s v="LINKEDIN"/>
    <n v="2"/>
    <s v="SALES"/>
    <s v="RAHUL"/>
    <d v="2026-06-17T00:00:00"/>
    <d v="2026-06-20T00:00:00"/>
    <d v="2026-06-23T00:00:00"/>
    <d v="2026-06-26T00:00:00"/>
    <s v="OFFER REJECTED"/>
    <n v="310569"/>
    <n v="304358"/>
    <x v="2"/>
    <n v="0"/>
    <n v="-6211"/>
    <x v="2"/>
  </r>
  <r>
    <s v="C166"/>
    <s v="CANDIDATE_169"/>
    <s v="MALE"/>
    <s v="NAUKRI"/>
    <n v="8"/>
    <s v="SALES"/>
    <s v="RAHUL"/>
    <d v="2026-06-18T00:00:00"/>
    <d v="2026-06-19T00:00:00"/>
    <d v="2026-06-21T00:00:00"/>
    <d v="2026-06-23T00:00:00"/>
    <s v="HIRED"/>
    <n v="572802"/>
    <n v="567074"/>
    <x v="0"/>
    <n v="14"/>
    <n v="-5728"/>
    <x v="0"/>
  </r>
  <r>
    <s v="C167"/>
    <s v="CANDIDATE_170"/>
    <s v="FEMALE"/>
    <s v="LINKEDIN"/>
    <n v="10"/>
    <s v="OPERATIONS"/>
    <s v="ANANYA"/>
    <d v="2026-06-19T00:00:00"/>
    <d v="2026-06-22T00:00:00"/>
    <d v="2026-06-25T00:00:00"/>
    <d v="2026-06-26T00:00:00"/>
    <s v="HIRED"/>
    <n v="641902"/>
    <n v="603388"/>
    <x v="0"/>
    <n v="23"/>
    <n v="-38514"/>
    <x v="0"/>
  </r>
  <r>
    <s v="C168"/>
    <s v="CANDIDATE_171"/>
    <s v="FEMALE"/>
    <s v="REFERRAL"/>
    <n v="8"/>
    <s v="OPERATIONS"/>
    <s v="RAHUL"/>
    <d v="2026-06-20T00:00:00"/>
    <d v="2026-06-21T00:00:00"/>
    <s v="N/A"/>
    <s v="N/A"/>
    <s v="REJECTED - SCREENING"/>
    <n v="639323"/>
    <n v="0"/>
    <x v="1"/>
    <n v="0"/>
    <n v="0"/>
    <x v="1"/>
  </r>
  <r>
    <s v="C169"/>
    <s v="CANDIDATE_172"/>
    <s v="MALE"/>
    <s v="REFERRAL"/>
    <n v="9"/>
    <s v="OPERATIONS"/>
    <s v="ANANYA"/>
    <d v="2026-06-21T00:00:00"/>
    <d v="2026-06-22T00:00:00"/>
    <d v="2026-06-24T00:00:00"/>
    <s v="N/A"/>
    <s v="REJECTED - INTERVIEW"/>
    <n v="526794"/>
    <n v="0"/>
    <x v="3"/>
    <n v="0"/>
    <n v="0"/>
    <x v="3"/>
  </r>
  <r>
    <s v="C170"/>
    <s v="CANDIDATE_173"/>
    <s v="FEMALE"/>
    <s v="LINKEDIN"/>
    <n v="5"/>
    <s v="TECHNOLOGY"/>
    <s v="RAHUL"/>
    <d v="2026-06-22T00:00:00"/>
    <d v="2026-06-23T00:00:00"/>
    <d v="2026-06-28T00:00:00"/>
    <s v="N/A"/>
    <s v="REJECTED - INTERVIEW"/>
    <n v="947445"/>
    <n v="0"/>
    <x v="3"/>
    <n v="0"/>
    <n v="0"/>
    <x v="3"/>
  </r>
  <r>
    <s v="C171"/>
    <s v="CANDIDATE_174"/>
    <s v="MALE"/>
    <s v="INDEED"/>
    <n v="8"/>
    <s v="HR"/>
    <s v="PRIYA"/>
    <d v="2026-06-23T00:00:00"/>
    <d v="2026-06-24T00:00:00"/>
    <d v="2026-06-26T00:00:00"/>
    <d v="2026-06-28T00:00:00"/>
    <s v="OFFER REJECTED"/>
    <n v="323092"/>
    <n v="319861"/>
    <x v="2"/>
    <n v="0"/>
    <n v="-3231"/>
    <x v="2"/>
  </r>
  <r>
    <s v="C172"/>
    <s v="CANDIDATE_175"/>
    <s v="MALE"/>
    <s v="NAUKRI"/>
    <n v="5"/>
    <s v="TECHNOLOGY"/>
    <s v="KARAN"/>
    <d v="2026-06-24T00:00:00"/>
    <d v="2026-06-25T00:00:00"/>
    <s v="N/A"/>
    <s v="N/A"/>
    <s v="REJECTED - SCREENING"/>
    <n v="1125496"/>
    <n v="0"/>
    <x v="1"/>
    <n v="0"/>
    <n v="0"/>
    <x v="1"/>
  </r>
  <r>
    <s v="C173"/>
    <s v="CANDIDATE_176"/>
    <s v="MALE"/>
    <s v="LINKEDIN"/>
    <n v="0"/>
    <s v="HR"/>
    <s v="PRIYA"/>
    <d v="2026-06-25T00:00:00"/>
    <d v="2026-06-28T00:00:00"/>
    <d v="2026-07-01T00:00:00"/>
    <d v="2026-07-03T00:00:00"/>
    <s v="HIRED"/>
    <n v="552082"/>
    <n v="507915"/>
    <x v="0"/>
    <n v="17"/>
    <n v="-44167"/>
    <x v="0"/>
  </r>
  <r>
    <s v="C174"/>
    <s v="CANDIDATE_177"/>
    <s v="MALE"/>
    <s v="COMPANY WEBSITE"/>
    <n v="9"/>
    <s v="OPERATIONS"/>
    <s v="KARAN"/>
    <d v="2026-06-26T00:00:00"/>
    <d v="2026-06-27T00:00:00"/>
    <d v="2026-06-30T00:00:00"/>
    <s v="N/A"/>
    <s v="REJECTED - INTERVIEW"/>
    <n v="528049"/>
    <n v="0"/>
    <x v="3"/>
    <n v="0"/>
    <n v="0"/>
    <x v="3"/>
  </r>
  <r>
    <s v="C175"/>
    <s v="CANDIDATE_178"/>
    <s v="MALE"/>
    <s v="REFERRAL"/>
    <n v="3"/>
    <s v="HR"/>
    <s v="RAHUL"/>
    <d v="2026-06-27T00:00:00"/>
    <d v="2026-06-29T00:00:00"/>
    <d v="2026-07-02T00:00:00"/>
    <d v="2026-07-05T00:00:00"/>
    <s v="OFFER REJECTED"/>
    <n v="512740"/>
    <n v="492230"/>
    <x v="2"/>
    <n v="0"/>
    <n v="-20510"/>
    <x v="2"/>
  </r>
  <r>
    <s v="C176"/>
    <s v="CANDIDATE_179"/>
    <s v="MALE"/>
    <s v="INDEED"/>
    <n v="12"/>
    <s v="HR"/>
    <s v="RAHUL"/>
    <d v="2026-06-28T00:00:00"/>
    <d v="2026-07-01T00:00:00"/>
    <d v="2026-07-06T00:00:00"/>
    <s v="N/A"/>
    <s v="REJECTED - INTERVIEW"/>
    <n v="536329"/>
    <n v="0"/>
    <x v="3"/>
    <n v="0"/>
    <n v="0"/>
    <x v="3"/>
  </r>
  <r>
    <s v="C177"/>
    <s v="CANDIDATE_180"/>
    <s v="MALE"/>
    <s v="LINKEDIN"/>
    <n v="5"/>
    <s v="TECHNOLOGY"/>
    <s v="RAHUL"/>
    <d v="2026-06-29T00:00:00"/>
    <d v="2026-06-30T00:00:00"/>
    <s v="N/A"/>
    <s v="N/A"/>
    <s v="REJECTED - SCREENING"/>
    <n v="1037984"/>
    <n v="0"/>
    <x v="1"/>
    <n v="0"/>
    <n v="0"/>
    <x v="1"/>
  </r>
  <r>
    <s v="C178"/>
    <s v="CANDIDATE_181"/>
    <s v="MALE"/>
    <s v="COMPANY WEBSITE"/>
    <n v="7"/>
    <s v="HR"/>
    <s v="ANANYA"/>
    <d v="2026-06-30T00:00:00"/>
    <d v="2026-07-01T00:00:00"/>
    <d v="2026-07-06T00:00:00"/>
    <d v="2026-07-08T00:00:00"/>
    <s v="OFFER REJECTED"/>
    <n v="581244"/>
    <n v="581244"/>
    <x v="2"/>
    <n v="0"/>
    <n v="0"/>
    <x v="2"/>
  </r>
  <r>
    <s v="C179"/>
    <s v="CANDIDATE_182"/>
    <s v="FEMALE"/>
    <s v="NAUKRI"/>
    <n v="6"/>
    <s v="HR"/>
    <s v="PRIYA"/>
    <d v="2026-07-01T00:00:00"/>
    <d v="2026-07-03T00:00:00"/>
    <s v="N/A"/>
    <s v="N/A"/>
    <s v="REJECTED - SCREENING"/>
    <n v="402987"/>
    <n v="0"/>
    <x v="1"/>
    <n v="0"/>
    <n v="0"/>
    <x v="1"/>
  </r>
  <r>
    <s v="C180"/>
    <s v="CANDIDATE_183"/>
    <s v="FEMALE"/>
    <s v="COMPANY WEBSITE"/>
    <n v="9"/>
    <s v="HR"/>
    <s v="PRIYA"/>
    <d v="2026-07-02T00:00:00"/>
    <d v="2026-07-03T00:00:00"/>
    <s v="N/A"/>
    <s v="N/A"/>
    <s v="REJECTED - SCREENING"/>
    <n v="554505"/>
    <n v="0"/>
    <x v="1"/>
    <n v="0"/>
    <n v="0"/>
    <x v="1"/>
  </r>
  <r>
    <s v="C181"/>
    <s v="CANDIDATE_184"/>
    <s v="MALE"/>
    <s v="COMPANY WEBSITE"/>
    <n v="5"/>
    <s v="HR"/>
    <s v="PRIYA"/>
    <d v="2026-07-03T00:00:00"/>
    <d v="2026-07-06T00:00:00"/>
    <d v="2026-07-09T00:00:00"/>
    <d v="2026-07-12T00:00:00"/>
    <s v="OFFER REJECTED"/>
    <n v="351862"/>
    <n v="327232"/>
    <x v="2"/>
    <n v="0"/>
    <n v="-24630"/>
    <x v="2"/>
  </r>
  <r>
    <s v="C182"/>
    <s v="CANDIDATE_185"/>
    <s v="FEMALE"/>
    <s v="REFERRAL"/>
    <n v="9"/>
    <s v="SALES"/>
    <s v="PRIYA"/>
    <d v="2026-07-04T00:00:00"/>
    <d v="2026-07-05T00:00:00"/>
    <s v="N/A"/>
    <s v="N/A"/>
    <s v="REJECTED - SCREENING"/>
    <n v="576026"/>
    <n v="0"/>
    <x v="1"/>
    <n v="0"/>
    <n v="0"/>
    <x v="1"/>
  </r>
  <r>
    <s v="C183"/>
    <s v="CANDIDATE_186"/>
    <s v="FEMALE"/>
    <s v="NAUKRI"/>
    <n v="0"/>
    <s v="OPERATIONS"/>
    <s v="RAHUL"/>
    <d v="2026-07-05T00:00:00"/>
    <d v="2026-07-06T00:00:00"/>
    <s v="N/A"/>
    <s v="N/A"/>
    <s v="REJECTED - SCREENING"/>
    <n v="484227"/>
    <n v="0"/>
    <x v="1"/>
    <n v="0"/>
    <n v="0"/>
    <x v="1"/>
  </r>
  <r>
    <s v="C184"/>
    <s v="CANDIDATE_187"/>
    <s v="MALE"/>
    <s v="INDEED"/>
    <n v="5"/>
    <s v="TECHNOLOGY"/>
    <s v="PRIYA"/>
    <d v="2026-07-06T00:00:00"/>
    <d v="2026-07-09T00:00:00"/>
    <d v="2026-07-12T00:00:00"/>
    <d v="2026-07-15T00:00:00"/>
    <s v="HIRED"/>
    <n v="1134987"/>
    <n v="1078238"/>
    <x v="0"/>
    <n v="27"/>
    <n v="-56749"/>
    <x v="0"/>
  </r>
  <r>
    <s v="C185"/>
    <s v="CANDIDATE_188"/>
    <s v="FEMALE"/>
    <s v="LINKEDIN"/>
    <n v="0"/>
    <s v="SALES"/>
    <s v="KARAN"/>
    <d v="2026-07-07T00:00:00"/>
    <d v="2026-07-09T00:00:00"/>
    <d v="2026-07-12T00:00:00"/>
    <s v="N/A"/>
    <s v="REJECTED - INTERVIEW"/>
    <n v="438705"/>
    <n v="0"/>
    <x v="3"/>
    <n v="0"/>
    <n v="0"/>
    <x v="3"/>
  </r>
  <r>
    <s v="C186"/>
    <s v="CANDIDATE_189"/>
    <s v="FEMALE"/>
    <s v="INDEED"/>
    <n v="12"/>
    <s v="HR"/>
    <s v="PRIYA"/>
    <d v="2026-07-08T00:00:00"/>
    <d v="2026-07-10T00:00:00"/>
    <d v="2026-07-12T00:00:00"/>
    <d v="2026-07-15T00:00:00"/>
    <s v="HIRED"/>
    <n v="424256"/>
    <n v="394558"/>
    <x v="0"/>
    <n v="14"/>
    <n v="-29698"/>
    <x v="0"/>
  </r>
  <r>
    <s v="C187"/>
    <s v="CANDIDATE_190"/>
    <s v="FEMALE"/>
    <s v="REFERRAL"/>
    <n v="12"/>
    <s v="OPERATIONS"/>
    <s v="ANANYA"/>
    <d v="2026-07-09T00:00:00"/>
    <d v="2026-07-10T00:00:00"/>
    <s v="N/A"/>
    <s v="N/A"/>
    <s v="REJECTED - SCREENING"/>
    <n v="483154"/>
    <n v="0"/>
    <x v="1"/>
    <n v="0"/>
    <n v="0"/>
    <x v="1"/>
  </r>
  <r>
    <s v="C188"/>
    <s v="CANDIDATE_191"/>
    <s v="FEMALE"/>
    <s v="INDEED"/>
    <n v="4"/>
    <s v="TECHNOLOGY"/>
    <s v="RAHUL"/>
    <d v="2026-07-10T00:00:00"/>
    <d v="2026-07-13T00:00:00"/>
    <s v="N/A"/>
    <s v="N/A"/>
    <s v="REJECTED - SCREENING"/>
    <n v="805956"/>
    <n v="0"/>
    <x v="1"/>
    <n v="0"/>
    <n v="0"/>
    <x v="1"/>
  </r>
  <r>
    <s v="C189"/>
    <s v="CANDIDATE_192"/>
    <s v="MALE"/>
    <s v="INDEED"/>
    <n v="1"/>
    <s v="SALES"/>
    <s v="RAHUL"/>
    <d v="2026-07-11T00:00:00"/>
    <d v="2026-07-13T00:00:00"/>
    <d v="2026-07-18T00:00:00"/>
    <d v="2026-07-21T00:00:00"/>
    <s v="OFFER REJECTED"/>
    <n v="328140"/>
    <n v="321577"/>
    <x v="2"/>
    <n v="0"/>
    <n v="-6563"/>
    <x v="2"/>
  </r>
  <r>
    <s v="C190"/>
    <s v="CANDIDATE_193"/>
    <s v="MALE"/>
    <s v="LINKEDIN"/>
    <n v="10"/>
    <s v="HR"/>
    <s v="RAHUL"/>
    <d v="2026-07-12T00:00:00"/>
    <d v="2026-07-13T00:00:00"/>
    <d v="2026-07-16T00:00:00"/>
    <d v="2026-07-18T00:00:00"/>
    <s v="HIRED"/>
    <n v="503494"/>
    <n v="458180"/>
    <x v="0"/>
    <n v="18"/>
    <n v="-45314"/>
    <x v="0"/>
  </r>
  <r>
    <s v="C191"/>
    <s v="CANDIDATE_194"/>
    <s v="MALE"/>
    <s v="INDEED"/>
    <n v="6"/>
    <s v="TECHNOLOGY"/>
    <s v="PRIYA"/>
    <d v="2026-07-13T00:00:00"/>
    <d v="2026-07-14T00:00:00"/>
    <d v="2026-07-19T00:00:00"/>
    <s v="N/A"/>
    <s v="REJECTED - INTERVIEW"/>
    <n v="610456"/>
    <n v="0"/>
    <x v="3"/>
    <n v="0"/>
    <n v="0"/>
    <x v="3"/>
  </r>
  <r>
    <s v="C192"/>
    <s v="CANDIDATE_195"/>
    <s v="MALE"/>
    <s v="COMPANY WEBSITE"/>
    <n v="6"/>
    <s v="OPERATIONS"/>
    <s v="KARAN"/>
    <d v="2026-07-14T00:00:00"/>
    <d v="2026-07-16T00:00:00"/>
    <s v="N/A"/>
    <s v="N/A"/>
    <s v="REJECTED - SCREENING"/>
    <n v="377490"/>
    <n v="0"/>
    <x v="1"/>
    <n v="0"/>
    <n v="0"/>
    <x v="1"/>
  </r>
  <r>
    <s v="C193"/>
    <s v="CANDIDATE_196"/>
    <s v="MALE"/>
    <s v="INDEED"/>
    <n v="5"/>
    <s v="TECHNOLOGY"/>
    <s v="KARAN"/>
    <d v="2026-07-15T00:00:00"/>
    <d v="2026-07-17T00:00:00"/>
    <d v="2026-07-19T00:00:00"/>
    <d v="2026-07-21T00:00:00"/>
    <s v="OFFER REJECTED"/>
    <n v="1169266"/>
    <n v="1134188"/>
    <x v="2"/>
    <n v="0"/>
    <n v="-35078"/>
    <x v="2"/>
  </r>
  <r>
    <s v="C194"/>
    <s v="CANDIDATE_197"/>
    <s v="FEMALE"/>
    <s v="INDEED"/>
    <n v="12"/>
    <s v="OPERATIONS"/>
    <s v="PRIYA"/>
    <d v="2026-07-16T00:00:00"/>
    <d v="2026-07-19T00:00:00"/>
    <s v="N/A"/>
    <s v="N/A"/>
    <s v="REJECTED - SCREENING"/>
    <n v="578709"/>
    <n v="0"/>
    <x v="1"/>
    <n v="0"/>
    <n v="0"/>
    <x v="1"/>
  </r>
  <r>
    <s v="C195"/>
    <s v="CANDIDATE_198"/>
    <s v="MALE"/>
    <s v="REFERRAL"/>
    <n v="0"/>
    <s v="TECHNOLOGY"/>
    <s v="PRIYA"/>
    <d v="2026-07-17T00:00:00"/>
    <d v="2026-07-19T00:00:00"/>
    <d v="2026-07-21T00:00:00"/>
    <s v="N/A"/>
    <s v="REJECTED - INTERVIEW"/>
    <n v="455104"/>
    <n v="0"/>
    <x v="3"/>
    <n v="0"/>
    <n v="0"/>
    <x v="3"/>
  </r>
  <r>
    <s v="C196"/>
    <s v="CANDIDATE_199"/>
    <s v="MALE"/>
    <s v="COMPANY WEBSITE"/>
    <n v="12"/>
    <s v="SALES"/>
    <s v="KARAN"/>
    <d v="2026-07-18T00:00:00"/>
    <d v="2026-07-21T00:00:00"/>
    <d v="2026-07-24T00:00:00"/>
    <d v="2026-07-25T00:00:00"/>
    <s v="HIRED"/>
    <n v="503622"/>
    <n v="483477"/>
    <x v="0"/>
    <n v="18"/>
    <n v="-20145"/>
    <x v="0"/>
  </r>
  <r>
    <s v="C197"/>
    <s v="CANDIDATE_200"/>
    <s v="FEMALE"/>
    <s v="INDEED"/>
    <n v="8"/>
    <s v="OPERATIONS"/>
    <s v="RAHUL"/>
    <d v="2026-07-19T00:00:00"/>
    <d v="2026-07-22T00:00:00"/>
    <d v="2026-07-25T00:00:00"/>
    <s v="N/A"/>
    <s v="REJECTED - INTERVIEW"/>
    <n v="402380"/>
    <n v="0"/>
    <x v="3"/>
    <n v="0"/>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208E6-8F35-43EF-9693-A20ED107E0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8">
    <pivotField dataField="1" showAll="0"/>
    <pivotField showAll="0"/>
    <pivotField showAll="0"/>
    <pivotField showAll="0"/>
    <pivotField showAll="0"/>
    <pivotField showAll="0"/>
    <pivotField showAll="0"/>
    <pivotField numFmtId="14" showAll="0"/>
    <pivotField numFmtId="14" showAll="0"/>
    <pivotField showAll="0"/>
    <pivotField showAll="0"/>
    <pivotField showAll="0"/>
    <pivotField numFmtId="1" showAll="0"/>
    <pivotField numFmtId="1" showAll="0"/>
    <pivotField showAll="0"/>
    <pivotField showAll="0"/>
    <pivotField showAll="0"/>
    <pivotField axis="axisRow" showAll="0">
      <items count="5">
        <item h="1" x="3"/>
        <item h="1" x="2"/>
        <item h="1" x="1"/>
        <item x="0"/>
        <item t="default"/>
      </items>
    </pivotField>
  </pivotFields>
  <rowFields count="1">
    <field x="17"/>
  </rowFields>
  <rowItems count="2">
    <i>
      <x v="3"/>
    </i>
    <i t="grand">
      <x/>
    </i>
  </rowItems>
  <colItems count="1">
    <i/>
  </colItems>
  <dataFields count="1">
    <dataField name="Count of CANDIDATE _ID" fld="0" subtotal="count" baseField="0" baseItem="0"/>
  </dataFields>
  <formats count="18">
    <format dxfId="49">
      <pivotArea type="all" dataOnly="0" outline="0" fieldPosition="0"/>
    </format>
    <format dxfId="48">
      <pivotArea outline="0" collapsedLevelsAreSubtotals="1" fieldPosition="0"/>
    </format>
    <format dxfId="47">
      <pivotArea field="17" type="button" dataOnly="0" labelOnly="1" outline="0" axis="axisRow" fieldPosition="0"/>
    </format>
    <format dxfId="46">
      <pivotArea dataOnly="0" labelOnly="1" fieldPosition="0">
        <references count="1">
          <reference field="17"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7" type="button" dataOnly="0" labelOnly="1" outline="0" axis="axisRow" fieldPosition="0"/>
    </format>
    <format dxfId="40">
      <pivotArea dataOnly="0" labelOnly="1" fieldPosition="0">
        <references count="1">
          <reference field="17"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7" type="button" dataOnly="0" labelOnly="1" outline="0" axis="axisRow" fieldPosition="0"/>
    </format>
    <format dxfId="34">
      <pivotArea dataOnly="0" labelOnly="1" fieldPosition="0">
        <references count="1">
          <reference field="17" count="0"/>
        </references>
      </pivotArea>
    </format>
    <format dxfId="33">
      <pivotArea dataOnly="0" labelOnly="1" grandRow="1" outline="0" fieldPosition="0"/>
    </format>
    <format dxfId="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33BF5-ED48-46AB-8FCC-66EB79C0A9E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8">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 showAll="0"/>
    <pivotField numFmtId="1" showAll="0"/>
    <pivotField showAll="0"/>
    <pivotField dataField="1" showAll="0"/>
    <pivotField showAll="0"/>
    <pivotField axis="axisRow" showAll="0">
      <items count="5">
        <item h="1" x="3"/>
        <item h="1" x="2"/>
        <item h="1" x="1"/>
        <item x="0"/>
        <item t="default"/>
      </items>
    </pivotField>
  </pivotFields>
  <rowFields count="1">
    <field x="17"/>
  </rowFields>
  <rowItems count="2">
    <i>
      <x v="3"/>
    </i>
    <i t="grand">
      <x/>
    </i>
  </rowItems>
  <colItems count="1">
    <i/>
  </colItems>
  <dataFields count="1">
    <dataField name="Average of TIME-TO_HIRE_DAYS" fld="15" subtotal="average" baseField="17" baseItem="0"/>
  </dataFields>
  <formats count="17">
    <format dxfId="31">
      <pivotArea collapsedLevelsAreSubtotals="1" fieldPosition="0">
        <references count="1">
          <reference field="17" count="1">
            <x v="0"/>
          </reference>
        </references>
      </pivotArea>
    </format>
    <format dxfId="30">
      <pivotArea collapsedLevelsAreSubtotals="1" fieldPosition="0">
        <references count="1">
          <reference field="17" count="1">
            <x v="1"/>
          </reference>
        </references>
      </pivotArea>
    </format>
    <format dxfId="29">
      <pivotArea collapsedLevelsAreSubtotals="1" fieldPosition="0">
        <references count="1">
          <reference field="17" count="1">
            <x v="2"/>
          </reference>
        </references>
      </pivotArea>
    </format>
    <format dxfId="28">
      <pivotArea collapsedLevelsAreSubtotals="1" fieldPosition="0">
        <references count="1">
          <reference field="17" count="1">
            <x v="3"/>
          </reference>
        </references>
      </pivotArea>
    </format>
    <format dxfId="27">
      <pivotArea grandRow="1" outline="0" collapsedLevelsAreSubtotals="1" fieldPosition="0"/>
    </format>
    <format dxfId="26">
      <pivotArea type="all" dataOnly="0" outline="0" fieldPosition="0"/>
    </format>
    <format dxfId="25">
      <pivotArea outline="0" collapsedLevelsAreSubtotals="1" fieldPosition="0"/>
    </format>
    <format dxfId="24">
      <pivotArea field="17" type="button" dataOnly="0" labelOnly="1" outline="0" axis="axisRow" fieldPosition="0"/>
    </format>
    <format dxfId="23">
      <pivotArea dataOnly="0" labelOnly="1" fieldPosition="0">
        <references count="1">
          <reference field="17"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7" type="button" dataOnly="0" labelOnly="1" outline="0" axis="axisRow" fieldPosition="0"/>
    </format>
    <format dxfId="17">
      <pivotArea dataOnly="0" labelOnly="1" fieldPosition="0">
        <references count="1">
          <reference field="17"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D424AC-2776-4569-AA3F-0524E193BC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8">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 showAll="0"/>
    <pivotField numFmtId="1" showAll="0"/>
    <pivotField showAll="0">
      <items count="5">
        <item h="1" x="2"/>
        <item x="0"/>
        <item h="1" x="1"/>
        <item h="1" x="3"/>
        <item t="default"/>
      </items>
    </pivotField>
    <pivotField showAll="0"/>
    <pivotField dataField="1" showAll="0"/>
    <pivotField axis="axisRow" showAll="0">
      <items count="5">
        <item h="1" x="3"/>
        <item h="1" x="2"/>
        <item h="1" x="1"/>
        <item x="0"/>
        <item t="default"/>
      </items>
    </pivotField>
  </pivotFields>
  <rowFields count="1">
    <field x="17"/>
  </rowFields>
  <rowItems count="2">
    <i>
      <x v="3"/>
    </i>
    <i t="grand">
      <x/>
    </i>
  </rowItems>
  <colItems count="1">
    <i/>
  </colItems>
  <dataFields count="1">
    <dataField name="Average of SALARY_GAP" fld="16" subtotal="average" baseField="17" baseItem="0" numFmtId="165"/>
  </dataFields>
  <formats count="15">
    <format dxfId="14">
      <pivotArea collapsedLevelsAreSubtotals="1" fieldPosition="0">
        <references count="1">
          <reference field="17" count="1">
            <x v="0"/>
          </reference>
        </references>
      </pivotArea>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7" type="button" dataOnly="0" labelOnly="1" outline="0" axis="axisRow" fieldPosition="0"/>
    </format>
    <format dxfId="8">
      <pivotArea dataOnly="0" labelOnly="1" fieldPosition="0">
        <references count="1">
          <reference field="17" count="1">
            <x v="3"/>
          </reference>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7" type="button" dataOnly="0" labelOnly="1" outline="0" axis="axisRow" fieldPosition="0"/>
    </format>
    <format dxfId="2">
      <pivotArea dataOnly="0" labelOnly="1" fieldPosition="0">
        <references count="1">
          <reference field="17" count="1">
            <x v="3"/>
          </reference>
        </references>
      </pivotArea>
    </format>
    <format dxfId="1">
      <pivotArea dataOnly="0" labelOnly="1" grandRow="1" outline="0" fieldPosition="0"/>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OP_OFF_STAGE" xr10:uid="{705DBEA3-7D46-49CA-80E0-A1CBE9C104AF}" sourceName="DROP_OFF_STAGE">
  <pivotTables>
    <pivotTable tabId="19" name="PivotTable1"/>
    <pivotTable tabId="24" name="PivotTable10"/>
    <pivotTable tabId="25" name="PivotTable11"/>
  </pivotTables>
  <data>
    <tabular pivotCacheId="917088006">
      <items count="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OP_OFF_STAGE" xr10:uid="{DD44C6DF-2158-4A2B-BC1C-71B5F3ED1EFB}" cache="Slicer_DROP_OFF_STAGE" caption="DROP_OFF_ST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OP_OFF_STAGE 1" xr10:uid="{84B8329C-BFD0-49AE-9166-E2EE523CA59A}" cache="Slicer_DROP_OFF_STAGE" caption="DROP_OFF_ST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575386-D4D9-4F72-A04B-9326FBBA41C5}" name="Table1" displayName="Table1" ref="A1:R198" totalsRowShown="0" headerRowDxfId="72" dataDxfId="70" headerRowBorderDxfId="71" tableBorderDxfId="69" totalsRowBorderDxfId="68">
  <autoFilter ref="A1:R198" xr:uid="{D90998B6-38E2-4B0E-A2F5-7F5B00D9F032}">
    <filterColumn colId="0">
      <customFilters>
        <customFilter operator="notEqual" val=" "/>
      </customFilters>
    </filterColumn>
  </autoFilter>
  <tableColumns count="18">
    <tableColumn id="10" xr3:uid="{AF192A79-43D7-4F5E-8A2D-5BB8573301F8}" name="CANDIDATE _ID" dataDxfId="67"/>
    <tableColumn id="2" xr3:uid="{1131D87F-5407-435A-B38E-3D861A1CCA75}" name="CANDIDATE_NAME" dataDxfId="66"/>
    <tableColumn id="3" xr3:uid="{522F5CDD-0FA4-4040-88CF-8F532FC9BC25}" name="GENDER" dataDxfId="65"/>
    <tableColumn id="19" xr3:uid="{1D65615B-F0F5-4397-B77A-2B71BF72F206}" name="SOURCE" dataDxfId="64"/>
    <tableColumn id="23" xr3:uid="{1C202CF0-0780-4ADD-933B-13E1314D8230}" name="EXPERIENCE" dataDxfId="63">
      <calculatedColumnFormula>RANDBETWEEN(0,12)</calculatedColumnFormula>
    </tableColumn>
    <tableColumn id="4" xr3:uid="{215C4088-E4C1-46E7-BD41-75A07AB93C31}" name="DEPARTMENT" dataDxfId="62"/>
    <tableColumn id="5" xr3:uid="{11283DE4-DEF9-43BC-BDE8-44DA8B6001BE}" name="RECRUITER" dataDxfId="61"/>
    <tableColumn id="6" xr3:uid="{DDDFBEC2-4C5F-4B35-8A4D-FE2E25FE92EE}" name="APPLICATION_DATE" dataDxfId="60"/>
    <tableColumn id="7" xr3:uid="{43CAD838-6EDB-48FF-88CA-2878C6DFCB29}" name="SCREENING_DATE" dataDxfId="59"/>
    <tableColumn id="8" xr3:uid="{A1394000-7297-4CE0-A6A1-A33453F23DFE}" name="INTERVIEW_DATE" dataDxfId="58"/>
    <tableColumn id="9" xr3:uid="{4E754F9D-3F5F-45E0-92DF-55DEB8E63B19}" name="OFFER_DATE" dataDxfId="57"/>
    <tableColumn id="11" xr3:uid="{7A09CC3C-249B-42D1-A0AE-AFBFB5C4A7D5}" name="STATUS" dataDxfId="56"/>
    <tableColumn id="12" xr3:uid="{2F53FD93-EE85-4886-B2E9-04DE22B2F257}" name="EXPECTED_SALARY" dataDxfId="55"/>
    <tableColumn id="13" xr3:uid="{39FED732-CF9F-42EE-96C4-70F6FA2DDEA3}" name="OFFERED SALARY" dataDxfId="54"/>
    <tableColumn id="14" xr3:uid="{4473CB09-97EC-46F1-B15D-A02CF749BF18}" name="REJECTION REASON" dataDxfId="53"/>
    <tableColumn id="15" xr3:uid="{4B376118-1D9C-4380-9322-DE142C07FC1F}" name="TIME-TO_HIRE_DAYS" dataDxfId="52"/>
    <tableColumn id="16" xr3:uid="{99FECB8E-C57B-4B15-85B3-256B62416A2F}" name="SALARY_GAP" dataDxfId="51"/>
    <tableColumn id="17" xr3:uid="{CC318C4D-D8F7-40E2-AE8B-F1CAAE691877}" name="DROP_OFF_STAGE" dataDxfId="50"/>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98B6-38E2-4B0E-A2F5-7F5B00D9F032}">
  <dimension ref="A1:V391"/>
  <sheetViews>
    <sheetView zoomScale="125" workbookViewId="0">
      <selection activeCell="W188" sqref="W188"/>
    </sheetView>
  </sheetViews>
  <sheetFormatPr defaultColWidth="8.90625" defaultRowHeight="15" x14ac:dyDescent="0.35"/>
  <cols>
    <col min="1" max="1" width="15.90625" style="3" customWidth="1"/>
    <col min="2" max="2" width="18.6328125" style="3" customWidth="1"/>
    <col min="3" max="3" width="14" style="3" customWidth="1"/>
    <col min="4" max="4" width="19.81640625" style="3" bestFit="1" customWidth="1"/>
    <col min="5" max="6" width="14" style="3" customWidth="1"/>
    <col min="7" max="7" width="12.08984375" style="3" customWidth="1"/>
    <col min="8" max="8" width="19.08984375" style="3" customWidth="1"/>
    <col min="9" max="9" width="17.90625" style="3" customWidth="1"/>
    <col min="10" max="10" width="17.08984375" style="3" customWidth="1"/>
    <col min="11" max="11" width="13.36328125" style="3" customWidth="1"/>
    <col min="12" max="12" width="24.1796875" style="3" bestFit="1" customWidth="1"/>
    <col min="13" max="13" width="20.6328125" style="22" customWidth="1"/>
    <col min="14" max="14" width="17.1796875" style="22" customWidth="1"/>
    <col min="15" max="15" width="23.90625" style="22" bestFit="1" customWidth="1"/>
    <col min="16" max="16" width="19.6328125" style="3" customWidth="1"/>
    <col min="17" max="17" width="13.54296875" style="3" customWidth="1"/>
    <col min="18" max="18" width="22.54296875" style="3" bestFit="1" customWidth="1"/>
    <col min="19" max="19" width="19.81640625" style="3" customWidth="1"/>
    <col min="20" max="20" width="20.453125" style="3" customWidth="1"/>
    <col min="21" max="21" width="25.90625" style="3" customWidth="1"/>
    <col min="22" max="22" width="22.54296875" style="3" customWidth="1"/>
    <col min="23" max="16384" width="8.90625" style="3"/>
  </cols>
  <sheetData>
    <row r="1" spans="1:22" x14ac:dyDescent="0.35">
      <c r="A1" s="16" t="s">
        <v>243</v>
      </c>
      <c r="B1" s="17" t="s">
        <v>0</v>
      </c>
      <c r="C1" s="17" t="s">
        <v>1</v>
      </c>
      <c r="D1" s="17" t="s">
        <v>237</v>
      </c>
      <c r="E1" s="17" t="s">
        <v>244</v>
      </c>
      <c r="F1" s="17" t="s">
        <v>2</v>
      </c>
      <c r="G1" s="17" t="s">
        <v>3</v>
      </c>
      <c r="H1" s="17" t="s">
        <v>4</v>
      </c>
      <c r="I1" s="17" t="s">
        <v>5</v>
      </c>
      <c r="J1" s="17" t="s">
        <v>6</v>
      </c>
      <c r="K1" s="17" t="s">
        <v>7</v>
      </c>
      <c r="L1" s="17" t="s">
        <v>8</v>
      </c>
      <c r="M1" s="18" t="s">
        <v>9</v>
      </c>
      <c r="N1" s="18" t="s">
        <v>228</v>
      </c>
      <c r="O1" s="18" t="s">
        <v>233</v>
      </c>
      <c r="P1" s="17" t="s">
        <v>23</v>
      </c>
      <c r="Q1" s="17" t="s">
        <v>24</v>
      </c>
      <c r="R1" s="19" t="s">
        <v>25</v>
      </c>
    </row>
    <row r="2" spans="1:22" x14ac:dyDescent="0.35">
      <c r="A2" s="12" t="str">
        <f t="shared" ref="A2:A19" si="0">"C"&amp;TEXT(ROW()-1,"000")</f>
        <v>C001</v>
      </c>
      <c r="B2" s="9" t="s">
        <v>26</v>
      </c>
      <c r="C2" s="9" t="s">
        <v>10</v>
      </c>
      <c r="D2" s="9" t="s">
        <v>241</v>
      </c>
      <c r="E2" s="9">
        <f ca="1">RANDBETWEEN(0,12)</f>
        <v>7</v>
      </c>
      <c r="F2" s="9" t="s">
        <v>15</v>
      </c>
      <c r="G2" s="9" t="s">
        <v>19</v>
      </c>
      <c r="H2" s="13">
        <v>46023</v>
      </c>
      <c r="I2" s="13">
        <v>46025</v>
      </c>
      <c r="J2" s="13">
        <v>46029</v>
      </c>
      <c r="K2" s="13">
        <v>46031</v>
      </c>
      <c r="L2" s="9" t="s">
        <v>20</v>
      </c>
      <c r="M2" s="14">
        <v>682145</v>
      </c>
      <c r="N2" s="14">
        <v>661681</v>
      </c>
      <c r="O2" s="14" t="s">
        <v>236</v>
      </c>
      <c r="P2" s="9">
        <v>25</v>
      </c>
      <c r="Q2" s="9">
        <v>-20464</v>
      </c>
      <c r="R2" s="15" t="s">
        <v>229</v>
      </c>
      <c r="T2" s="20" t="s">
        <v>244</v>
      </c>
    </row>
    <row r="3" spans="1:22" x14ac:dyDescent="0.35">
      <c r="A3" s="12" t="str">
        <f t="shared" si="0"/>
        <v>C002</v>
      </c>
      <c r="B3" s="9" t="s">
        <v>27</v>
      </c>
      <c r="C3" s="9" t="s">
        <v>11</v>
      </c>
      <c r="D3" s="9" t="s">
        <v>242</v>
      </c>
      <c r="E3" s="9">
        <f t="shared" ref="E3:E19" ca="1" si="1">RANDBETWEEN(0,12)</f>
        <v>5</v>
      </c>
      <c r="F3" s="9" t="s">
        <v>13</v>
      </c>
      <c r="G3" s="9" t="s">
        <v>18</v>
      </c>
      <c r="H3" s="13">
        <v>46024</v>
      </c>
      <c r="I3" s="13">
        <v>46025</v>
      </c>
      <c r="J3" s="13">
        <v>46027</v>
      </c>
      <c r="K3" s="13">
        <v>46028</v>
      </c>
      <c r="L3" s="9" t="s">
        <v>20</v>
      </c>
      <c r="M3" s="14">
        <v>1176346</v>
      </c>
      <c r="N3" s="14">
        <v>1117529</v>
      </c>
      <c r="O3" s="14" t="s">
        <v>236</v>
      </c>
      <c r="P3" s="9">
        <v>22</v>
      </c>
      <c r="Q3" s="9">
        <v>-58817</v>
      </c>
      <c r="R3" s="15" t="s">
        <v>229</v>
      </c>
      <c r="T3" s="3" t="s">
        <v>245</v>
      </c>
      <c r="U3" s="3" t="s">
        <v>247</v>
      </c>
      <c r="V3" s="3" t="s">
        <v>246</v>
      </c>
    </row>
    <row r="4" spans="1:22" x14ac:dyDescent="0.35">
      <c r="A4" s="12" t="str">
        <f t="shared" si="0"/>
        <v>C003</v>
      </c>
      <c r="B4" s="9" t="s">
        <v>28</v>
      </c>
      <c r="C4" s="9" t="s">
        <v>10</v>
      </c>
      <c r="D4" s="9" t="s">
        <v>238</v>
      </c>
      <c r="E4" s="9">
        <f t="shared" ca="1" si="1"/>
        <v>9</v>
      </c>
      <c r="F4" s="9" t="s">
        <v>13</v>
      </c>
      <c r="G4" s="9" t="s">
        <v>16</v>
      </c>
      <c r="H4" s="13">
        <v>46025</v>
      </c>
      <c r="I4" s="13">
        <v>46028</v>
      </c>
      <c r="J4" s="13" t="s">
        <v>236</v>
      </c>
      <c r="K4" s="13" t="s">
        <v>236</v>
      </c>
      <c r="L4" s="9" t="s">
        <v>223</v>
      </c>
      <c r="M4" s="14">
        <v>1101933</v>
      </c>
      <c r="N4" s="14">
        <v>0</v>
      </c>
      <c r="O4" s="14" t="s">
        <v>234</v>
      </c>
      <c r="P4" s="9">
        <v>0</v>
      </c>
      <c r="Q4" s="9">
        <v>0</v>
      </c>
      <c r="R4" s="15" t="s">
        <v>230</v>
      </c>
      <c r="T4" s="3">
        <v>5.8324873096446703</v>
      </c>
      <c r="U4" s="3">
        <f ca="1">_xlfn.MODE.SNGL(Table1[EXPERIENCE])</f>
        <v>7</v>
      </c>
      <c r="V4" s="3">
        <f ca="1">MEDIAN(Table1[EXPERIENCE])</f>
        <v>7</v>
      </c>
    </row>
    <row r="5" spans="1:22" x14ac:dyDescent="0.35">
      <c r="A5" s="12" t="str">
        <f t="shared" si="0"/>
        <v>C004</v>
      </c>
      <c r="B5" s="9" t="s">
        <v>29</v>
      </c>
      <c r="C5" s="9" t="s">
        <v>11</v>
      </c>
      <c r="D5" s="9" t="s">
        <v>240</v>
      </c>
      <c r="E5" s="9">
        <f t="shared" ca="1" si="1"/>
        <v>12</v>
      </c>
      <c r="F5" s="9" t="s">
        <v>12</v>
      </c>
      <c r="G5" s="9" t="s">
        <v>19</v>
      </c>
      <c r="H5" s="13">
        <v>46026</v>
      </c>
      <c r="I5" s="13">
        <v>46029</v>
      </c>
      <c r="J5" s="13" t="s">
        <v>236</v>
      </c>
      <c r="K5" s="13" t="s">
        <v>236</v>
      </c>
      <c r="L5" s="9" t="s">
        <v>223</v>
      </c>
      <c r="M5" s="14">
        <v>521038</v>
      </c>
      <c r="N5" s="14">
        <v>0</v>
      </c>
      <c r="O5" s="14" t="s">
        <v>234</v>
      </c>
      <c r="P5" s="9">
        <v>0</v>
      </c>
      <c r="Q5" s="9">
        <v>0</v>
      </c>
      <c r="R5" s="15" t="s">
        <v>230</v>
      </c>
    </row>
    <row r="6" spans="1:22" x14ac:dyDescent="0.35">
      <c r="A6" s="12" t="str">
        <f t="shared" si="0"/>
        <v>C005</v>
      </c>
      <c r="B6" s="9" t="s">
        <v>30</v>
      </c>
      <c r="C6" s="9" t="s">
        <v>10</v>
      </c>
      <c r="D6" s="9" t="s">
        <v>242</v>
      </c>
      <c r="E6" s="9">
        <f t="shared" ca="1" si="1"/>
        <v>6</v>
      </c>
      <c r="F6" s="9" t="s">
        <v>12</v>
      </c>
      <c r="G6" s="9" t="s">
        <v>18</v>
      </c>
      <c r="H6" s="13">
        <v>46027</v>
      </c>
      <c r="I6" s="13">
        <v>46030</v>
      </c>
      <c r="J6" s="13">
        <v>46032</v>
      </c>
      <c r="K6" s="13">
        <v>46034</v>
      </c>
      <c r="L6" s="9" t="s">
        <v>21</v>
      </c>
      <c r="M6" s="14">
        <v>416821</v>
      </c>
      <c r="N6" s="14">
        <v>375139</v>
      </c>
      <c r="O6" s="14" t="s">
        <v>22</v>
      </c>
      <c r="P6" s="9">
        <v>0</v>
      </c>
      <c r="Q6" s="9">
        <v>-41682</v>
      </c>
      <c r="R6" s="15" t="s">
        <v>231</v>
      </c>
    </row>
    <row r="7" spans="1:22" x14ac:dyDescent="0.35">
      <c r="A7" s="12" t="str">
        <f t="shared" si="0"/>
        <v>C006</v>
      </c>
      <c r="B7" s="9" t="s">
        <v>31</v>
      </c>
      <c r="C7" s="9" t="s">
        <v>10</v>
      </c>
      <c r="D7" s="9" t="s">
        <v>242</v>
      </c>
      <c r="E7" s="9">
        <f t="shared" ca="1" si="1"/>
        <v>3</v>
      </c>
      <c r="F7" s="9" t="s">
        <v>12</v>
      </c>
      <c r="G7" s="9" t="s">
        <v>18</v>
      </c>
      <c r="H7" s="13">
        <v>46028</v>
      </c>
      <c r="I7" s="13">
        <v>46031</v>
      </c>
      <c r="J7" s="13">
        <v>46033</v>
      </c>
      <c r="K7" s="13" t="s">
        <v>236</v>
      </c>
      <c r="L7" s="9" t="s">
        <v>224</v>
      </c>
      <c r="M7" s="14">
        <v>306249</v>
      </c>
      <c r="N7" s="14">
        <v>0</v>
      </c>
      <c r="O7" s="14" t="s">
        <v>235</v>
      </c>
      <c r="P7" s="9">
        <v>0</v>
      </c>
      <c r="Q7" s="9">
        <v>0</v>
      </c>
      <c r="R7" s="15" t="s">
        <v>232</v>
      </c>
      <c r="T7" s="3" t="s">
        <v>248</v>
      </c>
      <c r="U7" s="3" t="s">
        <v>249</v>
      </c>
      <c r="V7" s="3" t="s">
        <v>250</v>
      </c>
    </row>
    <row r="8" spans="1:22" x14ac:dyDescent="0.35">
      <c r="A8" s="12" t="str">
        <f t="shared" si="0"/>
        <v>C007</v>
      </c>
      <c r="B8" s="9" t="s">
        <v>32</v>
      </c>
      <c r="C8" s="9" t="s">
        <v>11</v>
      </c>
      <c r="D8" s="9" t="s">
        <v>238</v>
      </c>
      <c r="E8" s="9">
        <f t="shared" ca="1" si="1"/>
        <v>9</v>
      </c>
      <c r="F8" s="9" t="s">
        <v>13</v>
      </c>
      <c r="G8" s="9" t="s">
        <v>18</v>
      </c>
      <c r="H8" s="13">
        <v>46029</v>
      </c>
      <c r="I8" s="13">
        <v>46031</v>
      </c>
      <c r="J8" s="13" t="s">
        <v>236</v>
      </c>
      <c r="K8" s="13" t="s">
        <v>236</v>
      </c>
      <c r="L8" s="9" t="s">
        <v>223</v>
      </c>
      <c r="M8" s="14">
        <v>826400</v>
      </c>
      <c r="N8" s="14">
        <v>0</v>
      </c>
      <c r="O8" s="14" t="s">
        <v>234</v>
      </c>
      <c r="P8" s="9">
        <v>0</v>
      </c>
      <c r="Q8" s="9">
        <v>0</v>
      </c>
      <c r="R8" s="15" t="s">
        <v>230</v>
      </c>
      <c r="T8" s="3">
        <f>COUNTA(Table1[CANDIDATE _ID])</f>
        <v>196</v>
      </c>
      <c r="U8" s="3">
        <f>COUNTIF(Table1[DROP_OFF_STAGE],"SUCCESSFULLY HIRED")</f>
        <v>40</v>
      </c>
      <c r="V8" s="21">
        <f>(U8/T8)*100</f>
        <v>20.408163265306122</v>
      </c>
    </row>
    <row r="9" spans="1:22" x14ac:dyDescent="0.35">
      <c r="A9" s="12" t="str">
        <f t="shared" si="0"/>
        <v>C008</v>
      </c>
      <c r="B9" s="9" t="s">
        <v>33</v>
      </c>
      <c r="C9" s="9" t="s">
        <v>10</v>
      </c>
      <c r="D9" s="9" t="s">
        <v>238</v>
      </c>
      <c r="E9" s="9">
        <f t="shared" ca="1" si="1"/>
        <v>7</v>
      </c>
      <c r="F9" s="9" t="s">
        <v>13</v>
      </c>
      <c r="G9" s="9" t="s">
        <v>17</v>
      </c>
      <c r="H9" s="13">
        <v>46030</v>
      </c>
      <c r="I9" s="13">
        <v>46031</v>
      </c>
      <c r="J9" s="13">
        <v>46034</v>
      </c>
      <c r="K9" s="13">
        <v>46035</v>
      </c>
      <c r="L9" s="9" t="s">
        <v>20</v>
      </c>
      <c r="M9" s="14">
        <v>1150804</v>
      </c>
      <c r="N9" s="14">
        <v>1093264</v>
      </c>
      <c r="O9" s="14" t="s">
        <v>236</v>
      </c>
      <c r="P9" s="9">
        <v>12</v>
      </c>
      <c r="Q9" s="9">
        <v>-57540</v>
      </c>
      <c r="R9" s="15" t="s">
        <v>229</v>
      </c>
    </row>
    <row r="10" spans="1:22" x14ac:dyDescent="0.35">
      <c r="A10" s="12" t="str">
        <f t="shared" si="0"/>
        <v>C009</v>
      </c>
      <c r="B10" s="9" t="s">
        <v>34</v>
      </c>
      <c r="C10" s="9" t="s">
        <v>11</v>
      </c>
      <c r="D10" s="9" t="s">
        <v>241</v>
      </c>
      <c r="E10" s="9">
        <f t="shared" ca="1" si="1"/>
        <v>7</v>
      </c>
      <c r="F10" s="9" t="s">
        <v>14</v>
      </c>
      <c r="G10" s="9" t="s">
        <v>18</v>
      </c>
      <c r="H10" s="13">
        <v>46031</v>
      </c>
      <c r="I10" s="13">
        <v>46034</v>
      </c>
      <c r="J10" s="13">
        <v>46038</v>
      </c>
      <c r="K10" s="13">
        <v>46039</v>
      </c>
      <c r="L10" s="9" t="s">
        <v>20</v>
      </c>
      <c r="M10" s="14">
        <v>367354</v>
      </c>
      <c r="N10" s="14">
        <v>363680</v>
      </c>
      <c r="O10" s="14" t="s">
        <v>236</v>
      </c>
      <c r="P10" s="9">
        <v>18</v>
      </c>
      <c r="Q10" s="9">
        <v>-3674</v>
      </c>
      <c r="R10" s="15" t="s">
        <v>229</v>
      </c>
    </row>
    <row r="11" spans="1:22" x14ac:dyDescent="0.35">
      <c r="A11" s="12" t="str">
        <f t="shared" si="0"/>
        <v>C010</v>
      </c>
      <c r="B11" s="9" t="s">
        <v>35</v>
      </c>
      <c r="C11" s="9" t="s">
        <v>11</v>
      </c>
      <c r="D11" s="9" t="s">
        <v>241</v>
      </c>
      <c r="E11" s="9">
        <f t="shared" ca="1" si="1"/>
        <v>0</v>
      </c>
      <c r="F11" s="9" t="s">
        <v>13</v>
      </c>
      <c r="G11" s="9" t="s">
        <v>19</v>
      </c>
      <c r="H11" s="13">
        <v>46032</v>
      </c>
      <c r="I11" s="13">
        <v>46033</v>
      </c>
      <c r="J11" s="13">
        <v>46038</v>
      </c>
      <c r="K11" s="13">
        <v>46039</v>
      </c>
      <c r="L11" s="9" t="s">
        <v>21</v>
      </c>
      <c r="M11" s="14">
        <v>984117</v>
      </c>
      <c r="N11" s="14">
        <v>954593</v>
      </c>
      <c r="O11" s="14" t="s">
        <v>22</v>
      </c>
      <c r="P11" s="9">
        <v>0</v>
      </c>
      <c r="Q11" s="9">
        <v>-29524</v>
      </c>
      <c r="R11" s="15" t="s">
        <v>231</v>
      </c>
      <c r="T11" s="3" t="s">
        <v>260</v>
      </c>
      <c r="U11" s="3" t="s">
        <v>261</v>
      </c>
      <c r="V11" s="3" t="s">
        <v>262</v>
      </c>
    </row>
    <row r="12" spans="1:22" x14ac:dyDescent="0.35">
      <c r="A12" s="12" t="str">
        <f t="shared" si="0"/>
        <v>C011</v>
      </c>
      <c r="B12" s="9" t="s">
        <v>36</v>
      </c>
      <c r="C12" s="9" t="s">
        <v>10</v>
      </c>
      <c r="D12" s="9" t="s">
        <v>241</v>
      </c>
      <c r="E12" s="9">
        <f t="shared" ca="1" si="1"/>
        <v>9</v>
      </c>
      <c r="F12" s="9" t="s">
        <v>12</v>
      </c>
      <c r="G12" s="9" t="s">
        <v>18</v>
      </c>
      <c r="H12" s="13">
        <v>46033</v>
      </c>
      <c r="I12" s="13">
        <v>46034</v>
      </c>
      <c r="J12" s="13">
        <v>46037</v>
      </c>
      <c r="K12" s="13">
        <v>46039</v>
      </c>
      <c r="L12" s="9" t="s">
        <v>21</v>
      </c>
      <c r="M12" s="14">
        <v>379928</v>
      </c>
      <c r="N12" s="14">
        <v>349534</v>
      </c>
      <c r="O12" s="14" t="s">
        <v>22</v>
      </c>
      <c r="P12" s="9">
        <v>0</v>
      </c>
      <c r="Q12" s="9">
        <v>-30394</v>
      </c>
      <c r="R12" s="15" t="s">
        <v>231</v>
      </c>
      <c r="T12" s="3">
        <f>AVERAGE(Table1[TIME-TO_HIRE_DAYS])</f>
        <v>4.3096446700507611</v>
      </c>
      <c r="U12" s="3">
        <f>MIN(Table1[TIME-TO_HIRE_DAYS])</f>
        <v>0</v>
      </c>
      <c r="V12" s="3">
        <f>MAX(Table1[TIME-TO_HIRE_DAYS])</f>
        <v>30</v>
      </c>
    </row>
    <row r="13" spans="1:22" x14ac:dyDescent="0.35">
      <c r="A13" s="12" t="str">
        <f t="shared" si="0"/>
        <v>C012</v>
      </c>
      <c r="B13" s="9" t="s">
        <v>37</v>
      </c>
      <c r="C13" s="9" t="s">
        <v>11</v>
      </c>
      <c r="D13" s="9" t="s">
        <v>241</v>
      </c>
      <c r="E13" s="9">
        <f t="shared" ca="1" si="1"/>
        <v>7</v>
      </c>
      <c r="F13" s="9" t="s">
        <v>13</v>
      </c>
      <c r="G13" s="9" t="s">
        <v>19</v>
      </c>
      <c r="H13" s="13">
        <v>46034</v>
      </c>
      <c r="I13" s="13">
        <v>46037</v>
      </c>
      <c r="J13" s="13">
        <v>46042</v>
      </c>
      <c r="K13" s="13">
        <v>46045</v>
      </c>
      <c r="L13" s="9" t="s">
        <v>21</v>
      </c>
      <c r="M13" s="14">
        <v>1154287</v>
      </c>
      <c r="N13" s="14">
        <v>1073487</v>
      </c>
      <c r="O13" s="14" t="s">
        <v>22</v>
      </c>
      <c r="P13" s="9">
        <v>0</v>
      </c>
      <c r="Q13" s="9">
        <v>-80800</v>
      </c>
      <c r="R13" s="15" t="s">
        <v>231</v>
      </c>
    </row>
    <row r="14" spans="1:22" x14ac:dyDescent="0.35">
      <c r="A14" s="12" t="str">
        <f t="shared" si="0"/>
        <v>C013</v>
      </c>
      <c r="B14" s="9" t="s">
        <v>38</v>
      </c>
      <c r="C14" s="9" t="s">
        <v>11</v>
      </c>
      <c r="D14" s="9" t="s">
        <v>240</v>
      </c>
      <c r="E14" s="9">
        <f t="shared" ca="1" si="1"/>
        <v>11</v>
      </c>
      <c r="F14" s="9" t="s">
        <v>14</v>
      </c>
      <c r="G14" s="9" t="s">
        <v>16</v>
      </c>
      <c r="H14" s="13">
        <v>46035</v>
      </c>
      <c r="I14" s="13">
        <v>46037</v>
      </c>
      <c r="J14" s="13" t="s">
        <v>236</v>
      </c>
      <c r="K14" s="13" t="s">
        <v>236</v>
      </c>
      <c r="L14" s="9" t="s">
        <v>223</v>
      </c>
      <c r="M14" s="14">
        <v>562397</v>
      </c>
      <c r="N14" s="14">
        <v>0</v>
      </c>
      <c r="O14" s="14" t="s">
        <v>234</v>
      </c>
      <c r="P14" s="9">
        <v>0</v>
      </c>
      <c r="Q14" s="9">
        <v>0</v>
      </c>
      <c r="R14" s="15" t="s">
        <v>230</v>
      </c>
      <c r="T14" s="3" t="s">
        <v>269</v>
      </c>
      <c r="U14" s="3" t="s">
        <v>270</v>
      </c>
      <c r="V14" s="3" t="s">
        <v>271</v>
      </c>
    </row>
    <row r="15" spans="1:22" x14ac:dyDescent="0.35">
      <c r="A15" s="12" t="str">
        <f t="shared" si="0"/>
        <v>C014</v>
      </c>
      <c r="B15" s="9" t="s">
        <v>39</v>
      </c>
      <c r="C15" s="9" t="s">
        <v>10</v>
      </c>
      <c r="D15" s="9" t="s">
        <v>241</v>
      </c>
      <c r="E15" s="9">
        <f t="shared" ca="1" si="1"/>
        <v>10</v>
      </c>
      <c r="F15" s="9" t="s">
        <v>13</v>
      </c>
      <c r="G15" s="9" t="s">
        <v>16</v>
      </c>
      <c r="H15" s="13">
        <v>46036</v>
      </c>
      <c r="I15" s="13">
        <v>46039</v>
      </c>
      <c r="J15" s="13">
        <v>46044</v>
      </c>
      <c r="K15" s="13">
        <v>46047</v>
      </c>
      <c r="L15" s="9" t="s">
        <v>20</v>
      </c>
      <c r="M15" s="14">
        <v>1199927</v>
      </c>
      <c r="N15" s="14">
        <v>1127931</v>
      </c>
      <c r="O15" s="14" t="s">
        <v>236</v>
      </c>
      <c r="P15" s="9">
        <v>22</v>
      </c>
      <c r="Q15" s="9">
        <v>-71996</v>
      </c>
      <c r="R15" s="15" t="s">
        <v>229</v>
      </c>
      <c r="T15" s="3">
        <f>AVERAGE(Q2,Q198)</f>
        <v>-10232</v>
      </c>
      <c r="U15" s="3">
        <f>MIN(Table1[SALARY_GAP])</f>
        <v>-112010</v>
      </c>
      <c r="V15" s="3">
        <f>MAX(Table1[SALARY_GAP])</f>
        <v>0</v>
      </c>
    </row>
    <row r="16" spans="1:22" x14ac:dyDescent="0.35">
      <c r="A16" s="12" t="str">
        <f t="shared" si="0"/>
        <v>C015</v>
      </c>
      <c r="B16" s="9" t="s">
        <v>40</v>
      </c>
      <c r="C16" s="9" t="s">
        <v>11</v>
      </c>
      <c r="D16" s="9" t="s">
        <v>240</v>
      </c>
      <c r="E16" s="9">
        <f t="shared" ca="1" si="1"/>
        <v>7</v>
      </c>
      <c r="F16" s="9" t="s">
        <v>15</v>
      </c>
      <c r="G16" s="9" t="s">
        <v>16</v>
      </c>
      <c r="H16" s="13">
        <v>46037</v>
      </c>
      <c r="I16" s="13">
        <v>46038</v>
      </c>
      <c r="J16" s="9" t="s">
        <v>236</v>
      </c>
      <c r="K16" s="13" t="s">
        <v>236</v>
      </c>
      <c r="L16" s="9" t="s">
        <v>223</v>
      </c>
      <c r="M16" s="14">
        <v>677764</v>
      </c>
      <c r="N16" s="14">
        <v>0</v>
      </c>
      <c r="O16" s="14" t="s">
        <v>234</v>
      </c>
      <c r="P16" s="9">
        <v>0</v>
      </c>
      <c r="Q16" s="9">
        <v>0</v>
      </c>
      <c r="R16" s="15" t="s">
        <v>230</v>
      </c>
    </row>
    <row r="17" spans="1:18" x14ac:dyDescent="0.35">
      <c r="A17" s="12" t="str">
        <f t="shared" si="0"/>
        <v>C016</v>
      </c>
      <c r="B17" s="9" t="s">
        <v>41</v>
      </c>
      <c r="C17" s="9" t="s">
        <v>11</v>
      </c>
      <c r="D17" s="9" t="s">
        <v>240</v>
      </c>
      <c r="E17" s="9">
        <f t="shared" ca="1" si="1"/>
        <v>1</v>
      </c>
      <c r="F17" s="9" t="s">
        <v>13</v>
      </c>
      <c r="G17" s="9" t="s">
        <v>19</v>
      </c>
      <c r="H17" s="13">
        <v>46038</v>
      </c>
      <c r="I17" s="13">
        <v>46040</v>
      </c>
      <c r="J17" s="9" t="s">
        <v>236</v>
      </c>
      <c r="K17" s="13" t="s">
        <v>236</v>
      </c>
      <c r="L17" s="9" t="s">
        <v>223</v>
      </c>
      <c r="M17" s="14">
        <v>945477</v>
      </c>
      <c r="N17" s="14">
        <v>0</v>
      </c>
      <c r="O17" s="14" t="s">
        <v>234</v>
      </c>
      <c r="P17" s="9">
        <v>0</v>
      </c>
      <c r="Q17" s="9">
        <v>0</v>
      </c>
      <c r="R17" s="15" t="s">
        <v>230</v>
      </c>
    </row>
    <row r="18" spans="1:18" x14ac:dyDescent="0.35">
      <c r="A18" s="12" t="str">
        <f t="shared" si="0"/>
        <v>C017</v>
      </c>
      <c r="B18" s="9" t="s">
        <v>42</v>
      </c>
      <c r="C18" s="9" t="s">
        <v>11</v>
      </c>
      <c r="D18" s="9" t="s">
        <v>239</v>
      </c>
      <c r="E18" s="9">
        <f t="shared" ca="1" si="1"/>
        <v>7</v>
      </c>
      <c r="F18" s="9" t="s">
        <v>13</v>
      </c>
      <c r="G18" s="9" t="s">
        <v>18</v>
      </c>
      <c r="H18" s="13">
        <v>46039</v>
      </c>
      <c r="I18" s="13">
        <v>46041</v>
      </c>
      <c r="J18" s="13">
        <v>46044</v>
      </c>
      <c r="K18" s="13" t="s">
        <v>236</v>
      </c>
      <c r="L18" s="9" t="s">
        <v>224</v>
      </c>
      <c r="M18" s="14">
        <v>664355</v>
      </c>
      <c r="N18" s="14">
        <v>0</v>
      </c>
      <c r="O18" s="14" t="s">
        <v>235</v>
      </c>
      <c r="P18" s="9">
        <v>0</v>
      </c>
      <c r="Q18" s="9">
        <v>0</v>
      </c>
      <c r="R18" s="15" t="s">
        <v>232</v>
      </c>
    </row>
    <row r="19" spans="1:18" x14ac:dyDescent="0.35">
      <c r="A19" s="12" t="str">
        <f t="shared" si="0"/>
        <v>C018</v>
      </c>
      <c r="B19" s="9" t="s">
        <v>43</v>
      </c>
      <c r="C19" s="9" t="s">
        <v>10</v>
      </c>
      <c r="D19" s="9" t="s">
        <v>239</v>
      </c>
      <c r="E19" s="9">
        <f t="shared" ca="1" si="1"/>
        <v>5</v>
      </c>
      <c r="F19" s="9" t="s">
        <v>12</v>
      </c>
      <c r="G19" s="9" t="s">
        <v>16</v>
      </c>
      <c r="H19" s="13">
        <v>46040</v>
      </c>
      <c r="I19" s="13">
        <v>46041</v>
      </c>
      <c r="J19" s="13">
        <v>46044</v>
      </c>
      <c r="K19" s="13">
        <v>46046</v>
      </c>
      <c r="L19" s="9" t="s">
        <v>21</v>
      </c>
      <c r="M19" s="14">
        <v>434459</v>
      </c>
      <c r="N19" s="14">
        <v>404047</v>
      </c>
      <c r="O19" s="14" t="s">
        <v>22</v>
      </c>
      <c r="P19" s="9">
        <v>0</v>
      </c>
      <c r="Q19" s="9">
        <v>-30412</v>
      </c>
      <c r="R19" s="15" t="s">
        <v>231</v>
      </c>
    </row>
    <row r="20" spans="1:18" hidden="1" x14ac:dyDescent="0.35">
      <c r="A20" s="12"/>
      <c r="B20" s="9" t="s">
        <v>44</v>
      </c>
      <c r="C20" s="9" t="s">
        <v>11</v>
      </c>
      <c r="D20" s="9" t="s">
        <v>241</v>
      </c>
      <c r="E20" s="9">
        <f t="shared" ref="E20:E83" ca="1" si="2">RANDBETWEEN(0,12)</f>
        <v>12</v>
      </c>
      <c r="F20" s="9" t="s">
        <v>14</v>
      </c>
      <c r="G20" s="9" t="s">
        <v>18</v>
      </c>
      <c r="H20" s="13">
        <v>46041</v>
      </c>
      <c r="I20" s="13">
        <v>46042</v>
      </c>
      <c r="J20" s="13" t="s">
        <v>227</v>
      </c>
      <c r="K20" s="13" t="s">
        <v>236</v>
      </c>
      <c r="L20" s="9" t="s">
        <v>223</v>
      </c>
      <c r="M20" s="14">
        <v>447159</v>
      </c>
      <c r="N20" s="14">
        <v>0</v>
      </c>
      <c r="O20" s="14" t="s">
        <v>234</v>
      </c>
      <c r="P20" s="9">
        <v>0</v>
      </c>
      <c r="Q20" s="9">
        <v>0</v>
      </c>
      <c r="R20" s="15" t="s">
        <v>230</v>
      </c>
    </row>
    <row r="21" spans="1:18" x14ac:dyDescent="0.35">
      <c r="A21" s="12" t="str">
        <f t="shared" ref="A21:A52" si="3">"C"&amp;TEXT(ROW()-1,"000")</f>
        <v>C020</v>
      </c>
      <c r="B21" s="9" t="s">
        <v>45</v>
      </c>
      <c r="C21" s="9" t="s">
        <v>10</v>
      </c>
      <c r="D21" s="9" t="s">
        <v>242</v>
      </c>
      <c r="E21" s="9">
        <f t="shared" ca="1" si="2"/>
        <v>9</v>
      </c>
      <c r="F21" s="9" t="s">
        <v>14</v>
      </c>
      <c r="G21" s="9" t="s">
        <v>19</v>
      </c>
      <c r="H21" s="13">
        <v>46042</v>
      </c>
      <c r="I21" s="13">
        <v>46045</v>
      </c>
      <c r="J21" s="13">
        <v>46047</v>
      </c>
      <c r="K21" s="13">
        <v>46050</v>
      </c>
      <c r="L21" s="9" t="s">
        <v>21</v>
      </c>
      <c r="M21" s="14">
        <v>525195</v>
      </c>
      <c r="N21" s="14">
        <v>504187</v>
      </c>
      <c r="O21" s="14" t="s">
        <v>22</v>
      </c>
      <c r="P21" s="9">
        <v>0</v>
      </c>
      <c r="Q21" s="9">
        <v>-21008</v>
      </c>
      <c r="R21" s="15" t="s">
        <v>231</v>
      </c>
    </row>
    <row r="22" spans="1:18" x14ac:dyDescent="0.35">
      <c r="A22" s="12" t="str">
        <f t="shared" si="3"/>
        <v>C021</v>
      </c>
      <c r="B22" s="9" t="s">
        <v>46</v>
      </c>
      <c r="C22" s="9" t="s">
        <v>10</v>
      </c>
      <c r="D22" s="9" t="s">
        <v>240</v>
      </c>
      <c r="E22" s="9">
        <f t="shared" ca="1" si="2"/>
        <v>3</v>
      </c>
      <c r="F22" s="9" t="s">
        <v>13</v>
      </c>
      <c r="G22" s="9" t="s">
        <v>18</v>
      </c>
      <c r="H22" s="13">
        <v>46043</v>
      </c>
      <c r="I22" s="13">
        <v>46044</v>
      </c>
      <c r="J22" s="13">
        <v>46049</v>
      </c>
      <c r="K22" s="13">
        <v>46052</v>
      </c>
      <c r="L22" s="9" t="s">
        <v>21</v>
      </c>
      <c r="M22" s="14">
        <v>1059010</v>
      </c>
      <c r="N22" s="14">
        <v>1059010</v>
      </c>
      <c r="O22" s="14" t="s">
        <v>22</v>
      </c>
      <c r="P22" s="9">
        <v>0</v>
      </c>
      <c r="Q22" s="9">
        <v>0</v>
      </c>
      <c r="R22" s="15" t="s">
        <v>231</v>
      </c>
    </row>
    <row r="23" spans="1:18" x14ac:dyDescent="0.35">
      <c r="A23" s="12" t="str">
        <f t="shared" si="3"/>
        <v>C022</v>
      </c>
      <c r="B23" s="9" t="s">
        <v>47</v>
      </c>
      <c r="C23" s="9" t="s">
        <v>11</v>
      </c>
      <c r="D23" s="9" t="s">
        <v>239</v>
      </c>
      <c r="E23" s="9">
        <f t="shared" ca="1" si="2"/>
        <v>1</v>
      </c>
      <c r="F23" s="9" t="s">
        <v>14</v>
      </c>
      <c r="G23" s="9" t="s">
        <v>18</v>
      </c>
      <c r="H23" s="13">
        <v>46044</v>
      </c>
      <c r="I23" s="13">
        <v>46047</v>
      </c>
      <c r="J23" s="13" t="s">
        <v>236</v>
      </c>
      <c r="K23" s="13" t="s">
        <v>236</v>
      </c>
      <c r="L23" s="9" t="s">
        <v>223</v>
      </c>
      <c r="M23" s="14">
        <v>308489</v>
      </c>
      <c r="N23" s="14">
        <v>0</v>
      </c>
      <c r="O23" s="14" t="s">
        <v>234</v>
      </c>
      <c r="P23" s="9">
        <v>0</v>
      </c>
      <c r="Q23" s="9">
        <v>0</v>
      </c>
      <c r="R23" s="15" t="s">
        <v>230</v>
      </c>
    </row>
    <row r="24" spans="1:18" x14ac:dyDescent="0.35">
      <c r="A24" s="12" t="str">
        <f t="shared" si="3"/>
        <v>C023</v>
      </c>
      <c r="B24" s="9" t="s">
        <v>48</v>
      </c>
      <c r="C24" s="9" t="s">
        <v>11</v>
      </c>
      <c r="D24" s="9" t="s">
        <v>241</v>
      </c>
      <c r="E24" s="9">
        <f t="shared" ca="1" si="2"/>
        <v>1</v>
      </c>
      <c r="F24" s="9" t="s">
        <v>15</v>
      </c>
      <c r="G24" s="9" t="s">
        <v>18</v>
      </c>
      <c r="H24" s="13">
        <v>46045</v>
      </c>
      <c r="I24" s="13">
        <v>46048</v>
      </c>
      <c r="J24" s="13" t="s">
        <v>236</v>
      </c>
      <c r="K24" s="13" t="s">
        <v>236</v>
      </c>
      <c r="L24" s="9" t="s">
        <v>223</v>
      </c>
      <c r="M24" s="14">
        <v>389835</v>
      </c>
      <c r="N24" s="14">
        <v>0</v>
      </c>
      <c r="O24" s="14" t="s">
        <v>234</v>
      </c>
      <c r="P24" s="9">
        <v>0</v>
      </c>
      <c r="Q24" s="9">
        <v>0</v>
      </c>
      <c r="R24" s="15" t="s">
        <v>230</v>
      </c>
    </row>
    <row r="25" spans="1:18" x14ac:dyDescent="0.35">
      <c r="A25" s="12" t="str">
        <f t="shared" si="3"/>
        <v>C024</v>
      </c>
      <c r="B25" s="9" t="s">
        <v>49</v>
      </c>
      <c r="C25" s="9" t="s">
        <v>11</v>
      </c>
      <c r="D25" s="9" t="s">
        <v>239</v>
      </c>
      <c r="E25" s="9">
        <f t="shared" ca="1" si="2"/>
        <v>4</v>
      </c>
      <c r="F25" s="9" t="s">
        <v>12</v>
      </c>
      <c r="G25" s="9" t="s">
        <v>16</v>
      </c>
      <c r="H25" s="13">
        <v>46046</v>
      </c>
      <c r="I25" s="13">
        <v>46049</v>
      </c>
      <c r="J25" s="13">
        <v>46054</v>
      </c>
      <c r="K25" s="13">
        <v>46056</v>
      </c>
      <c r="L25" s="9" t="s">
        <v>20</v>
      </c>
      <c r="M25" s="14">
        <v>313854</v>
      </c>
      <c r="N25" s="14">
        <v>295023</v>
      </c>
      <c r="O25" s="14" t="s">
        <v>236</v>
      </c>
      <c r="P25" s="9">
        <v>29</v>
      </c>
      <c r="Q25" s="9">
        <v>-18831</v>
      </c>
      <c r="R25" s="15" t="s">
        <v>229</v>
      </c>
    </row>
    <row r="26" spans="1:18" x14ac:dyDescent="0.35">
      <c r="A26" s="12" t="str">
        <f t="shared" si="3"/>
        <v>C025</v>
      </c>
      <c r="B26" s="9" t="s">
        <v>50</v>
      </c>
      <c r="C26" s="9" t="s">
        <v>10</v>
      </c>
      <c r="D26" s="9" t="s">
        <v>242</v>
      </c>
      <c r="E26" s="9">
        <f t="shared" ca="1" si="2"/>
        <v>9</v>
      </c>
      <c r="F26" s="9" t="s">
        <v>14</v>
      </c>
      <c r="G26" s="9" t="s">
        <v>16</v>
      </c>
      <c r="H26" s="13">
        <v>46047</v>
      </c>
      <c r="I26" s="13">
        <v>46048</v>
      </c>
      <c r="J26" s="13">
        <v>46052</v>
      </c>
      <c r="K26" s="13">
        <v>46054</v>
      </c>
      <c r="L26" s="9" t="s">
        <v>21</v>
      </c>
      <c r="M26" s="14">
        <v>450968</v>
      </c>
      <c r="N26" s="14">
        <v>437439</v>
      </c>
      <c r="O26" s="14" t="s">
        <v>22</v>
      </c>
      <c r="P26" s="9">
        <v>0</v>
      </c>
      <c r="Q26" s="9">
        <v>-13529</v>
      </c>
      <c r="R26" s="15" t="s">
        <v>231</v>
      </c>
    </row>
    <row r="27" spans="1:18" x14ac:dyDescent="0.35">
      <c r="A27" s="12" t="str">
        <f t="shared" si="3"/>
        <v>C026</v>
      </c>
      <c r="B27" s="9" t="s">
        <v>51</v>
      </c>
      <c r="C27" s="9" t="s">
        <v>10</v>
      </c>
      <c r="D27" s="9" t="s">
        <v>241</v>
      </c>
      <c r="E27" s="9">
        <f t="shared" ca="1" si="2"/>
        <v>8</v>
      </c>
      <c r="F27" s="9" t="s">
        <v>15</v>
      </c>
      <c r="G27" s="9" t="s">
        <v>17</v>
      </c>
      <c r="H27" s="13">
        <v>46048</v>
      </c>
      <c r="I27" s="13">
        <v>46049</v>
      </c>
      <c r="J27" s="13">
        <v>46054</v>
      </c>
      <c r="K27" s="13">
        <v>46056</v>
      </c>
      <c r="L27" s="9" t="s">
        <v>21</v>
      </c>
      <c r="M27" s="14">
        <v>698231</v>
      </c>
      <c r="N27" s="14">
        <v>656337</v>
      </c>
      <c r="O27" s="14" t="s">
        <v>22</v>
      </c>
      <c r="P27" s="9">
        <v>0</v>
      </c>
      <c r="Q27" s="9">
        <v>-41894</v>
      </c>
      <c r="R27" s="15" t="s">
        <v>231</v>
      </c>
    </row>
    <row r="28" spans="1:18" x14ac:dyDescent="0.35">
      <c r="A28" s="12" t="str">
        <f t="shared" si="3"/>
        <v>C027</v>
      </c>
      <c r="B28" s="9" t="s">
        <v>52</v>
      </c>
      <c r="C28" s="9" t="s">
        <v>11</v>
      </c>
      <c r="D28" s="9" t="s">
        <v>238</v>
      </c>
      <c r="E28" s="9">
        <f t="shared" ca="1" si="2"/>
        <v>10</v>
      </c>
      <c r="F28" s="9" t="s">
        <v>14</v>
      </c>
      <c r="G28" s="9" t="s">
        <v>19</v>
      </c>
      <c r="H28" s="13">
        <v>46049</v>
      </c>
      <c r="I28" s="13">
        <v>46052</v>
      </c>
      <c r="J28" s="13" t="s">
        <v>236</v>
      </c>
      <c r="K28" s="13" t="s">
        <v>236</v>
      </c>
      <c r="L28" s="9" t="s">
        <v>223</v>
      </c>
      <c r="M28" s="14">
        <v>525861</v>
      </c>
      <c r="N28" s="14">
        <v>0</v>
      </c>
      <c r="O28" s="14" t="s">
        <v>234</v>
      </c>
      <c r="P28" s="9">
        <v>0</v>
      </c>
      <c r="Q28" s="9">
        <v>0</v>
      </c>
      <c r="R28" s="15" t="s">
        <v>230</v>
      </c>
    </row>
    <row r="29" spans="1:18" x14ac:dyDescent="0.35">
      <c r="A29" s="12" t="str">
        <f t="shared" si="3"/>
        <v>C028</v>
      </c>
      <c r="B29" s="9" t="s">
        <v>53</v>
      </c>
      <c r="C29" s="9" t="s">
        <v>10</v>
      </c>
      <c r="D29" s="9" t="s">
        <v>238</v>
      </c>
      <c r="E29" s="9">
        <f t="shared" ca="1" si="2"/>
        <v>4</v>
      </c>
      <c r="F29" s="9" t="s">
        <v>15</v>
      </c>
      <c r="G29" s="9" t="s">
        <v>16</v>
      </c>
      <c r="H29" s="13">
        <v>46050</v>
      </c>
      <c r="I29" s="13">
        <v>46053</v>
      </c>
      <c r="J29" s="13" t="s">
        <v>236</v>
      </c>
      <c r="K29" s="13" t="s">
        <v>236</v>
      </c>
      <c r="L29" s="9" t="s">
        <v>224</v>
      </c>
      <c r="M29" s="14">
        <v>378835</v>
      </c>
      <c r="N29" s="14">
        <v>0</v>
      </c>
      <c r="O29" s="14" t="s">
        <v>235</v>
      </c>
      <c r="P29" s="9">
        <v>0</v>
      </c>
      <c r="Q29" s="9">
        <v>0</v>
      </c>
      <c r="R29" s="15" t="s">
        <v>232</v>
      </c>
    </row>
    <row r="30" spans="1:18" x14ac:dyDescent="0.35">
      <c r="A30" s="12" t="str">
        <f t="shared" si="3"/>
        <v>C029</v>
      </c>
      <c r="B30" s="9" t="s">
        <v>54</v>
      </c>
      <c r="C30" s="9" t="s">
        <v>11</v>
      </c>
      <c r="D30" s="9" t="s">
        <v>240</v>
      </c>
      <c r="E30" s="9">
        <f t="shared" ca="1" si="2"/>
        <v>0</v>
      </c>
      <c r="F30" s="9" t="s">
        <v>13</v>
      </c>
      <c r="G30" s="9" t="s">
        <v>17</v>
      </c>
      <c r="H30" s="13">
        <v>46051</v>
      </c>
      <c r="I30" s="13">
        <v>46054</v>
      </c>
      <c r="J30" s="13">
        <v>46059</v>
      </c>
      <c r="K30" s="13">
        <v>46062</v>
      </c>
      <c r="L30" s="9" t="s">
        <v>21</v>
      </c>
      <c r="M30" s="14">
        <v>1064907</v>
      </c>
      <c r="N30" s="14">
        <v>1054258</v>
      </c>
      <c r="O30" s="14" t="s">
        <v>22</v>
      </c>
      <c r="P30" s="9">
        <v>0</v>
      </c>
      <c r="Q30" s="9">
        <v>-10649</v>
      </c>
      <c r="R30" s="15" t="s">
        <v>231</v>
      </c>
    </row>
    <row r="31" spans="1:18" x14ac:dyDescent="0.35">
      <c r="A31" s="12" t="str">
        <f t="shared" si="3"/>
        <v>C030</v>
      </c>
      <c r="B31" s="9" t="s">
        <v>55</v>
      </c>
      <c r="C31" s="9" t="s">
        <v>11</v>
      </c>
      <c r="D31" s="9" t="s">
        <v>238</v>
      </c>
      <c r="E31" s="9">
        <f t="shared" ca="1" si="2"/>
        <v>1</v>
      </c>
      <c r="F31" s="9" t="s">
        <v>15</v>
      </c>
      <c r="G31" s="9" t="s">
        <v>17</v>
      </c>
      <c r="H31" s="13">
        <v>46052</v>
      </c>
      <c r="I31" s="13">
        <v>46055</v>
      </c>
      <c r="J31" s="13" t="s">
        <v>236</v>
      </c>
      <c r="K31" s="13" t="s">
        <v>236</v>
      </c>
      <c r="L31" s="9" t="s">
        <v>223</v>
      </c>
      <c r="M31" s="14">
        <v>698030</v>
      </c>
      <c r="N31" s="14">
        <v>0</v>
      </c>
      <c r="O31" s="14" t="s">
        <v>234</v>
      </c>
      <c r="P31" s="9">
        <v>0</v>
      </c>
      <c r="Q31" s="9">
        <v>0</v>
      </c>
      <c r="R31" s="15" t="s">
        <v>230</v>
      </c>
    </row>
    <row r="32" spans="1:18" x14ac:dyDescent="0.35">
      <c r="A32" s="12" t="str">
        <f t="shared" si="3"/>
        <v>C031</v>
      </c>
      <c r="B32" s="9" t="s">
        <v>56</v>
      </c>
      <c r="C32" s="9" t="s">
        <v>11</v>
      </c>
      <c r="D32" s="9" t="s">
        <v>241</v>
      </c>
      <c r="E32" s="9">
        <f t="shared" ca="1" si="2"/>
        <v>1</v>
      </c>
      <c r="F32" s="9" t="s">
        <v>15</v>
      </c>
      <c r="G32" s="9" t="s">
        <v>16</v>
      </c>
      <c r="H32" s="13">
        <v>46053</v>
      </c>
      <c r="I32" s="13">
        <v>46056</v>
      </c>
      <c r="J32" s="13">
        <v>46061</v>
      </c>
      <c r="K32" s="13">
        <v>46064</v>
      </c>
      <c r="L32" s="9" t="s">
        <v>20</v>
      </c>
      <c r="M32" s="14">
        <v>379941</v>
      </c>
      <c r="N32" s="14">
        <v>349546</v>
      </c>
      <c r="O32" s="14" t="s">
        <v>236</v>
      </c>
      <c r="P32" s="9">
        <v>30</v>
      </c>
      <c r="Q32" s="9">
        <v>-30395</v>
      </c>
      <c r="R32" s="15" t="s">
        <v>229</v>
      </c>
    </row>
    <row r="33" spans="1:18" x14ac:dyDescent="0.35">
      <c r="A33" s="12" t="str">
        <f t="shared" si="3"/>
        <v>C032</v>
      </c>
      <c r="B33" s="9" t="s">
        <v>57</v>
      </c>
      <c r="C33" s="9" t="s">
        <v>11</v>
      </c>
      <c r="D33" s="9" t="s">
        <v>240</v>
      </c>
      <c r="E33" s="9">
        <f t="shared" ca="1" si="2"/>
        <v>2</v>
      </c>
      <c r="F33" s="9" t="s">
        <v>12</v>
      </c>
      <c r="G33" s="9" t="s">
        <v>16</v>
      </c>
      <c r="H33" s="13">
        <v>46055</v>
      </c>
      <c r="I33" s="13">
        <v>46057</v>
      </c>
      <c r="J33" s="13" t="s">
        <v>236</v>
      </c>
      <c r="K33" s="13" t="s">
        <v>236</v>
      </c>
      <c r="L33" s="9" t="s">
        <v>223</v>
      </c>
      <c r="M33" s="14">
        <v>469776</v>
      </c>
      <c r="N33" s="14">
        <v>0</v>
      </c>
      <c r="O33" s="14" t="s">
        <v>234</v>
      </c>
      <c r="P33" s="9">
        <v>0</v>
      </c>
      <c r="Q33" s="9">
        <v>0</v>
      </c>
      <c r="R33" s="15" t="s">
        <v>230</v>
      </c>
    </row>
    <row r="34" spans="1:18" x14ac:dyDescent="0.35">
      <c r="A34" s="12" t="str">
        <f t="shared" si="3"/>
        <v>C033</v>
      </c>
      <c r="B34" s="9" t="s">
        <v>58</v>
      </c>
      <c r="C34" s="9" t="s">
        <v>10</v>
      </c>
      <c r="D34" s="9" t="s">
        <v>241</v>
      </c>
      <c r="E34" s="9">
        <f t="shared" ca="1" si="2"/>
        <v>5</v>
      </c>
      <c r="F34" s="9" t="s">
        <v>12</v>
      </c>
      <c r="G34" s="9" t="s">
        <v>19</v>
      </c>
      <c r="H34" s="13">
        <v>46056</v>
      </c>
      <c r="I34" s="13">
        <v>46058</v>
      </c>
      <c r="J34" s="13">
        <v>46061</v>
      </c>
      <c r="K34" s="13" t="s">
        <v>236</v>
      </c>
      <c r="L34" s="9" t="s">
        <v>224</v>
      </c>
      <c r="M34" s="14">
        <v>316804</v>
      </c>
      <c r="N34" s="14">
        <v>0</v>
      </c>
      <c r="O34" s="14" t="s">
        <v>235</v>
      </c>
      <c r="P34" s="9">
        <v>0</v>
      </c>
      <c r="Q34" s="9">
        <v>0</v>
      </c>
      <c r="R34" s="15" t="s">
        <v>232</v>
      </c>
    </row>
    <row r="35" spans="1:18" x14ac:dyDescent="0.35">
      <c r="A35" s="12" t="str">
        <f t="shared" si="3"/>
        <v>C034</v>
      </c>
      <c r="B35" s="9" t="s">
        <v>59</v>
      </c>
      <c r="C35" s="9" t="s">
        <v>11</v>
      </c>
      <c r="D35" s="9" t="s">
        <v>241</v>
      </c>
      <c r="E35" s="9">
        <f t="shared" ca="1" si="2"/>
        <v>0</v>
      </c>
      <c r="F35" s="9" t="s">
        <v>15</v>
      </c>
      <c r="G35" s="9" t="s">
        <v>16</v>
      </c>
      <c r="H35" s="13">
        <v>46057</v>
      </c>
      <c r="I35" s="13">
        <v>46059</v>
      </c>
      <c r="J35" s="13">
        <v>46063</v>
      </c>
      <c r="K35" s="13">
        <v>46064</v>
      </c>
      <c r="L35" s="9" t="s">
        <v>21</v>
      </c>
      <c r="M35" s="14">
        <v>669374</v>
      </c>
      <c r="N35" s="14">
        <v>649293</v>
      </c>
      <c r="O35" s="14" t="s">
        <v>22</v>
      </c>
      <c r="P35" s="9">
        <v>0</v>
      </c>
      <c r="Q35" s="9">
        <v>-20081</v>
      </c>
      <c r="R35" s="15" t="s">
        <v>231</v>
      </c>
    </row>
    <row r="36" spans="1:18" x14ac:dyDescent="0.35">
      <c r="A36" s="12" t="str">
        <f t="shared" si="3"/>
        <v>C035</v>
      </c>
      <c r="B36" s="9" t="s">
        <v>60</v>
      </c>
      <c r="C36" s="9" t="s">
        <v>10</v>
      </c>
      <c r="D36" s="9" t="s">
        <v>239</v>
      </c>
      <c r="E36" s="9">
        <f t="shared" ca="1" si="2"/>
        <v>3</v>
      </c>
      <c r="F36" s="9" t="s">
        <v>15</v>
      </c>
      <c r="G36" s="9" t="s">
        <v>16</v>
      </c>
      <c r="H36" s="13">
        <v>46058</v>
      </c>
      <c r="I36" s="13">
        <v>46060</v>
      </c>
      <c r="J36" s="13">
        <v>46063</v>
      </c>
      <c r="K36" s="13" t="s">
        <v>236</v>
      </c>
      <c r="L36" s="9" t="s">
        <v>224</v>
      </c>
      <c r="M36" s="14">
        <v>403548</v>
      </c>
      <c r="N36" s="14">
        <v>0</v>
      </c>
      <c r="O36" s="14" t="s">
        <v>235</v>
      </c>
      <c r="P36" s="9">
        <v>0</v>
      </c>
      <c r="Q36" s="9">
        <v>0</v>
      </c>
      <c r="R36" s="15" t="s">
        <v>232</v>
      </c>
    </row>
    <row r="37" spans="1:18" x14ac:dyDescent="0.35">
      <c r="A37" s="12" t="str">
        <f t="shared" si="3"/>
        <v>C036</v>
      </c>
      <c r="B37" s="9" t="s">
        <v>61</v>
      </c>
      <c r="C37" s="9" t="s">
        <v>11</v>
      </c>
      <c r="D37" s="9" t="s">
        <v>238</v>
      </c>
      <c r="E37" s="9">
        <f t="shared" ca="1" si="2"/>
        <v>8</v>
      </c>
      <c r="F37" s="9" t="s">
        <v>14</v>
      </c>
      <c r="G37" s="9" t="s">
        <v>18</v>
      </c>
      <c r="H37" s="13">
        <v>46059</v>
      </c>
      <c r="I37" s="13">
        <v>46062</v>
      </c>
      <c r="J37" s="13" t="s">
        <v>236</v>
      </c>
      <c r="K37" s="13" t="s">
        <v>236</v>
      </c>
      <c r="L37" s="9" t="s">
        <v>223</v>
      </c>
      <c r="M37" s="14">
        <v>417236</v>
      </c>
      <c r="N37" s="14">
        <v>0</v>
      </c>
      <c r="O37" s="14" t="s">
        <v>234</v>
      </c>
      <c r="P37" s="9">
        <v>0</v>
      </c>
      <c r="Q37" s="9">
        <v>0</v>
      </c>
      <c r="R37" s="15" t="s">
        <v>230</v>
      </c>
    </row>
    <row r="38" spans="1:18" x14ac:dyDescent="0.35">
      <c r="A38" s="12" t="str">
        <f t="shared" si="3"/>
        <v>C037</v>
      </c>
      <c r="B38" s="9" t="s">
        <v>62</v>
      </c>
      <c r="C38" s="9" t="s">
        <v>11</v>
      </c>
      <c r="D38" s="9" t="s">
        <v>239</v>
      </c>
      <c r="E38" s="9">
        <f t="shared" ca="1" si="2"/>
        <v>9</v>
      </c>
      <c r="F38" s="9" t="s">
        <v>13</v>
      </c>
      <c r="G38" s="9" t="s">
        <v>19</v>
      </c>
      <c r="H38" s="13">
        <v>46060</v>
      </c>
      <c r="I38" s="13">
        <v>46061</v>
      </c>
      <c r="J38" s="13">
        <v>46064</v>
      </c>
      <c r="K38" s="13">
        <v>46065</v>
      </c>
      <c r="L38" s="9" t="s">
        <v>21</v>
      </c>
      <c r="M38" s="14">
        <v>578262</v>
      </c>
      <c r="N38" s="14">
        <v>543566</v>
      </c>
      <c r="O38" s="14" t="s">
        <v>22</v>
      </c>
      <c r="P38" s="9">
        <v>0</v>
      </c>
      <c r="Q38" s="9">
        <v>-34696</v>
      </c>
      <c r="R38" s="15" t="s">
        <v>231</v>
      </c>
    </row>
    <row r="39" spans="1:18" x14ac:dyDescent="0.35">
      <c r="A39" s="12" t="str">
        <f t="shared" si="3"/>
        <v>C038</v>
      </c>
      <c r="B39" s="9" t="s">
        <v>63</v>
      </c>
      <c r="C39" s="9" t="s">
        <v>10</v>
      </c>
      <c r="D39" s="9" t="s">
        <v>238</v>
      </c>
      <c r="E39" s="9">
        <f t="shared" ca="1" si="2"/>
        <v>10</v>
      </c>
      <c r="F39" s="9" t="s">
        <v>12</v>
      </c>
      <c r="G39" s="9" t="s">
        <v>19</v>
      </c>
      <c r="H39" s="13">
        <v>46061</v>
      </c>
      <c r="I39" s="13">
        <v>46062</v>
      </c>
      <c r="J39" s="13" t="s">
        <v>236</v>
      </c>
      <c r="K39" s="13" t="s">
        <v>236</v>
      </c>
      <c r="L39" s="9" t="s">
        <v>223</v>
      </c>
      <c r="M39" s="14">
        <v>336586</v>
      </c>
      <c r="N39" s="14">
        <v>0</v>
      </c>
      <c r="O39" s="14" t="s">
        <v>234</v>
      </c>
      <c r="P39" s="9">
        <v>0</v>
      </c>
      <c r="Q39" s="9">
        <v>0</v>
      </c>
      <c r="R39" s="15" t="s">
        <v>230</v>
      </c>
    </row>
    <row r="40" spans="1:18" x14ac:dyDescent="0.35">
      <c r="A40" s="12" t="str">
        <f t="shared" si="3"/>
        <v>C039</v>
      </c>
      <c r="B40" s="9" t="s">
        <v>64</v>
      </c>
      <c r="C40" s="9" t="s">
        <v>11</v>
      </c>
      <c r="D40" s="9" t="s">
        <v>239</v>
      </c>
      <c r="E40" s="9">
        <f t="shared" ca="1" si="2"/>
        <v>6</v>
      </c>
      <c r="F40" s="9" t="s">
        <v>14</v>
      </c>
      <c r="G40" s="9" t="s">
        <v>19</v>
      </c>
      <c r="H40" s="13">
        <v>46062</v>
      </c>
      <c r="I40" s="13">
        <v>46064</v>
      </c>
      <c r="J40" s="13">
        <v>46069</v>
      </c>
      <c r="K40" s="13">
        <v>46070</v>
      </c>
      <c r="L40" s="9" t="s">
        <v>21</v>
      </c>
      <c r="M40" s="14">
        <v>308374</v>
      </c>
      <c r="N40" s="14">
        <v>289872</v>
      </c>
      <c r="O40" s="14" t="s">
        <v>22</v>
      </c>
      <c r="P40" s="9">
        <v>0</v>
      </c>
      <c r="Q40" s="9">
        <v>-18502</v>
      </c>
      <c r="R40" s="15" t="s">
        <v>231</v>
      </c>
    </row>
    <row r="41" spans="1:18" x14ac:dyDescent="0.35">
      <c r="A41" s="12" t="str">
        <f t="shared" si="3"/>
        <v>C040</v>
      </c>
      <c r="B41" s="9" t="s">
        <v>65</v>
      </c>
      <c r="C41" s="9" t="s">
        <v>11</v>
      </c>
      <c r="D41" s="9" t="s">
        <v>239</v>
      </c>
      <c r="E41" s="9">
        <f t="shared" ca="1" si="2"/>
        <v>6</v>
      </c>
      <c r="F41" s="9" t="s">
        <v>13</v>
      </c>
      <c r="G41" s="9" t="s">
        <v>18</v>
      </c>
      <c r="H41" s="13">
        <v>46063</v>
      </c>
      <c r="I41" s="13">
        <v>46064</v>
      </c>
      <c r="J41" s="13">
        <v>46066</v>
      </c>
      <c r="K41" s="13" t="s">
        <v>236</v>
      </c>
      <c r="L41" s="9" t="s">
        <v>224</v>
      </c>
      <c r="M41" s="14">
        <v>578001</v>
      </c>
      <c r="N41" s="14">
        <v>0</v>
      </c>
      <c r="O41" s="14" t="s">
        <v>235</v>
      </c>
      <c r="P41" s="9">
        <v>0</v>
      </c>
      <c r="Q41" s="9">
        <v>0</v>
      </c>
      <c r="R41" s="15" t="s">
        <v>232</v>
      </c>
    </row>
    <row r="42" spans="1:18" x14ac:dyDescent="0.35">
      <c r="A42" s="12" t="str">
        <f t="shared" si="3"/>
        <v>C041</v>
      </c>
      <c r="B42" s="9" t="s">
        <v>66</v>
      </c>
      <c r="C42" s="9" t="s">
        <v>10</v>
      </c>
      <c r="D42" s="9" t="s">
        <v>242</v>
      </c>
      <c r="E42" s="9">
        <f t="shared" ca="1" si="2"/>
        <v>0</v>
      </c>
      <c r="F42" s="9" t="s">
        <v>15</v>
      </c>
      <c r="G42" s="9" t="s">
        <v>17</v>
      </c>
      <c r="H42" s="13">
        <v>46064</v>
      </c>
      <c r="I42" s="13">
        <v>46066</v>
      </c>
      <c r="J42" s="13">
        <v>46071</v>
      </c>
      <c r="K42" s="13">
        <v>46072</v>
      </c>
      <c r="L42" s="9" t="s">
        <v>20</v>
      </c>
      <c r="M42" s="14">
        <v>439187</v>
      </c>
      <c r="N42" s="14">
        <v>417228</v>
      </c>
      <c r="O42" s="14" t="s">
        <v>236</v>
      </c>
      <c r="P42" s="9">
        <v>28</v>
      </c>
      <c r="Q42" s="9">
        <v>-21959</v>
      </c>
      <c r="R42" s="15" t="s">
        <v>229</v>
      </c>
    </row>
    <row r="43" spans="1:18" x14ac:dyDescent="0.35">
      <c r="A43" s="12" t="str">
        <f t="shared" si="3"/>
        <v>C042</v>
      </c>
      <c r="B43" s="9" t="s">
        <v>67</v>
      </c>
      <c r="C43" s="9" t="s">
        <v>11</v>
      </c>
      <c r="D43" s="9" t="s">
        <v>241</v>
      </c>
      <c r="E43" s="9">
        <f t="shared" ca="1" si="2"/>
        <v>5</v>
      </c>
      <c r="F43" s="9" t="s">
        <v>14</v>
      </c>
      <c r="G43" s="9" t="s">
        <v>18</v>
      </c>
      <c r="H43" s="13">
        <v>46065</v>
      </c>
      <c r="I43" s="13">
        <v>46068</v>
      </c>
      <c r="J43" s="13">
        <v>46070</v>
      </c>
      <c r="K43" s="13">
        <v>46071</v>
      </c>
      <c r="L43" s="9" t="s">
        <v>21</v>
      </c>
      <c r="M43" s="14">
        <v>388577</v>
      </c>
      <c r="N43" s="14">
        <v>361377</v>
      </c>
      <c r="O43" s="14" t="s">
        <v>22</v>
      </c>
      <c r="P43" s="9">
        <v>0</v>
      </c>
      <c r="Q43" s="9">
        <v>-27200</v>
      </c>
      <c r="R43" s="15" t="s">
        <v>231</v>
      </c>
    </row>
    <row r="44" spans="1:18" x14ac:dyDescent="0.35">
      <c r="A44" s="12" t="str">
        <f t="shared" si="3"/>
        <v>C043</v>
      </c>
      <c r="B44" s="9" t="s">
        <v>68</v>
      </c>
      <c r="C44" s="9" t="s">
        <v>11</v>
      </c>
      <c r="D44" s="9" t="s">
        <v>238</v>
      </c>
      <c r="E44" s="9">
        <f t="shared" ca="1" si="2"/>
        <v>12</v>
      </c>
      <c r="F44" s="9" t="s">
        <v>13</v>
      </c>
      <c r="G44" s="9" t="s">
        <v>16</v>
      </c>
      <c r="H44" s="13">
        <v>46066</v>
      </c>
      <c r="I44" s="13">
        <v>46068</v>
      </c>
      <c r="J44" s="13">
        <v>46070</v>
      </c>
      <c r="K44" s="13">
        <v>46071</v>
      </c>
      <c r="L44" s="9" t="s">
        <v>21</v>
      </c>
      <c r="M44" s="14">
        <v>1190015</v>
      </c>
      <c r="N44" s="14">
        <v>1190015</v>
      </c>
      <c r="O44" s="14" t="s">
        <v>22</v>
      </c>
      <c r="P44" s="9">
        <v>0</v>
      </c>
      <c r="Q44" s="9">
        <v>0</v>
      </c>
      <c r="R44" s="15" t="s">
        <v>231</v>
      </c>
    </row>
    <row r="45" spans="1:18" x14ac:dyDescent="0.35">
      <c r="A45" s="12" t="str">
        <f t="shared" si="3"/>
        <v>C044</v>
      </c>
      <c r="B45" s="9" t="s">
        <v>69</v>
      </c>
      <c r="C45" s="9" t="s">
        <v>11</v>
      </c>
      <c r="D45" s="9" t="s">
        <v>238</v>
      </c>
      <c r="E45" s="9">
        <f t="shared" ca="1" si="2"/>
        <v>1</v>
      </c>
      <c r="F45" s="9" t="s">
        <v>14</v>
      </c>
      <c r="G45" s="9" t="s">
        <v>18</v>
      </c>
      <c r="H45" s="13">
        <v>46067</v>
      </c>
      <c r="I45" s="13">
        <v>46069</v>
      </c>
      <c r="J45" s="13" t="s">
        <v>236</v>
      </c>
      <c r="K45" s="13" t="s">
        <v>236</v>
      </c>
      <c r="L45" s="9" t="s">
        <v>223</v>
      </c>
      <c r="M45" s="14">
        <v>496140</v>
      </c>
      <c r="N45" s="14">
        <v>0</v>
      </c>
      <c r="O45" s="14" t="s">
        <v>234</v>
      </c>
      <c r="P45" s="9">
        <v>0</v>
      </c>
      <c r="Q45" s="9">
        <v>0</v>
      </c>
      <c r="R45" s="15" t="s">
        <v>230</v>
      </c>
    </row>
    <row r="46" spans="1:18" x14ac:dyDescent="0.35">
      <c r="A46" s="12" t="str">
        <f t="shared" si="3"/>
        <v>C045</v>
      </c>
      <c r="B46" s="9" t="s">
        <v>70</v>
      </c>
      <c r="C46" s="9" t="s">
        <v>10</v>
      </c>
      <c r="D46" s="9" t="s">
        <v>239</v>
      </c>
      <c r="E46" s="9">
        <f t="shared" ca="1" si="2"/>
        <v>7</v>
      </c>
      <c r="F46" s="9" t="s">
        <v>14</v>
      </c>
      <c r="G46" s="9" t="s">
        <v>18</v>
      </c>
      <c r="H46" s="13">
        <v>46068</v>
      </c>
      <c r="I46" s="13">
        <v>46069</v>
      </c>
      <c r="J46" s="13">
        <v>46072</v>
      </c>
      <c r="K46" s="13">
        <v>46075</v>
      </c>
      <c r="L46" s="9" t="s">
        <v>21</v>
      </c>
      <c r="M46" s="14">
        <v>579690</v>
      </c>
      <c r="N46" s="14">
        <v>573893</v>
      </c>
      <c r="O46" s="14" t="s">
        <v>22</v>
      </c>
      <c r="P46" s="9">
        <v>0</v>
      </c>
      <c r="Q46" s="9">
        <v>-5797</v>
      </c>
      <c r="R46" s="15" t="s">
        <v>231</v>
      </c>
    </row>
    <row r="47" spans="1:18" x14ac:dyDescent="0.35">
      <c r="A47" s="12" t="str">
        <f t="shared" si="3"/>
        <v>C046</v>
      </c>
      <c r="B47" s="9" t="s">
        <v>71</v>
      </c>
      <c r="C47" s="9" t="s">
        <v>10</v>
      </c>
      <c r="D47" s="9" t="s">
        <v>241</v>
      </c>
      <c r="E47" s="9">
        <f t="shared" ca="1" si="2"/>
        <v>12</v>
      </c>
      <c r="F47" s="9" t="s">
        <v>13</v>
      </c>
      <c r="G47" s="9" t="s">
        <v>16</v>
      </c>
      <c r="H47" s="13">
        <v>46069</v>
      </c>
      <c r="I47" s="13">
        <v>46072</v>
      </c>
      <c r="J47" s="13" t="s">
        <v>236</v>
      </c>
      <c r="K47" s="13" t="s">
        <v>236</v>
      </c>
      <c r="L47" s="9" t="s">
        <v>223</v>
      </c>
      <c r="M47" s="14">
        <v>1140887</v>
      </c>
      <c r="N47" s="14">
        <v>0</v>
      </c>
      <c r="O47" s="14" t="s">
        <v>234</v>
      </c>
      <c r="P47" s="9">
        <v>0</v>
      </c>
      <c r="Q47" s="9">
        <v>0</v>
      </c>
      <c r="R47" s="15" t="s">
        <v>230</v>
      </c>
    </row>
    <row r="48" spans="1:18" x14ac:dyDescent="0.35">
      <c r="A48" s="12" t="str">
        <f t="shared" si="3"/>
        <v>C047</v>
      </c>
      <c r="B48" s="9" t="s">
        <v>72</v>
      </c>
      <c r="C48" s="9" t="s">
        <v>11</v>
      </c>
      <c r="D48" s="9" t="s">
        <v>241</v>
      </c>
      <c r="E48" s="9">
        <f t="shared" ca="1" si="2"/>
        <v>3</v>
      </c>
      <c r="F48" s="9" t="s">
        <v>14</v>
      </c>
      <c r="G48" s="9" t="s">
        <v>17</v>
      </c>
      <c r="H48" s="13">
        <v>46070</v>
      </c>
      <c r="I48" s="13">
        <v>46071</v>
      </c>
      <c r="J48" s="13">
        <v>46076</v>
      </c>
      <c r="K48" s="13" t="s">
        <v>236</v>
      </c>
      <c r="L48" s="9" t="s">
        <v>224</v>
      </c>
      <c r="M48" s="14">
        <v>569243</v>
      </c>
      <c r="N48" s="14">
        <v>0</v>
      </c>
      <c r="O48" s="14" t="s">
        <v>235</v>
      </c>
      <c r="P48" s="9">
        <v>0</v>
      </c>
      <c r="Q48" s="9">
        <v>0</v>
      </c>
      <c r="R48" s="15" t="s">
        <v>232</v>
      </c>
    </row>
    <row r="49" spans="1:18" x14ac:dyDescent="0.35">
      <c r="A49" s="12" t="str">
        <f t="shared" si="3"/>
        <v>C048</v>
      </c>
      <c r="B49" s="9" t="s">
        <v>73</v>
      </c>
      <c r="C49" s="9" t="s">
        <v>10</v>
      </c>
      <c r="D49" s="9" t="s">
        <v>239</v>
      </c>
      <c r="E49" s="9">
        <f t="shared" ca="1" si="2"/>
        <v>8</v>
      </c>
      <c r="F49" s="9" t="s">
        <v>14</v>
      </c>
      <c r="G49" s="9" t="s">
        <v>17</v>
      </c>
      <c r="H49" s="13">
        <v>46071</v>
      </c>
      <c r="I49" s="13">
        <v>46073</v>
      </c>
      <c r="J49" s="13">
        <v>46078</v>
      </c>
      <c r="K49" s="13">
        <v>46081</v>
      </c>
      <c r="L49" s="9" t="s">
        <v>20</v>
      </c>
      <c r="M49" s="14">
        <v>403781</v>
      </c>
      <c r="N49" s="14">
        <v>399743</v>
      </c>
      <c r="O49" s="14" t="s">
        <v>236</v>
      </c>
      <c r="P49" s="9">
        <v>19</v>
      </c>
      <c r="Q49" s="9">
        <v>-4038</v>
      </c>
      <c r="R49" s="15" t="s">
        <v>229</v>
      </c>
    </row>
    <row r="50" spans="1:18" x14ac:dyDescent="0.35">
      <c r="A50" s="12" t="str">
        <f t="shared" si="3"/>
        <v>C049</v>
      </c>
      <c r="B50" s="9" t="s">
        <v>74</v>
      </c>
      <c r="C50" s="9" t="s">
        <v>11</v>
      </c>
      <c r="D50" s="9" t="s">
        <v>238</v>
      </c>
      <c r="E50" s="9">
        <f t="shared" ca="1" si="2"/>
        <v>12</v>
      </c>
      <c r="F50" s="9" t="s">
        <v>15</v>
      </c>
      <c r="G50" s="9" t="s">
        <v>19</v>
      </c>
      <c r="H50" s="13">
        <v>46072</v>
      </c>
      <c r="I50" s="13">
        <v>46073</v>
      </c>
      <c r="J50" s="13">
        <v>46078</v>
      </c>
      <c r="K50" s="13">
        <v>46080</v>
      </c>
      <c r="L50" s="9" t="s">
        <v>21</v>
      </c>
      <c r="M50" s="14">
        <v>449785</v>
      </c>
      <c r="N50" s="14">
        <v>422798</v>
      </c>
      <c r="O50" s="14" t="s">
        <v>22</v>
      </c>
      <c r="P50" s="9">
        <v>0</v>
      </c>
      <c r="Q50" s="9">
        <v>-26987</v>
      </c>
      <c r="R50" s="15" t="s">
        <v>231</v>
      </c>
    </row>
    <row r="51" spans="1:18" x14ac:dyDescent="0.35">
      <c r="A51" s="12" t="str">
        <f t="shared" si="3"/>
        <v>C050</v>
      </c>
      <c r="B51" s="9" t="s">
        <v>75</v>
      </c>
      <c r="C51" s="9" t="s">
        <v>10</v>
      </c>
      <c r="D51" s="9" t="s">
        <v>240</v>
      </c>
      <c r="E51" s="9">
        <f t="shared" ca="1" si="2"/>
        <v>6</v>
      </c>
      <c r="F51" s="9" t="s">
        <v>15</v>
      </c>
      <c r="G51" s="9" t="s">
        <v>16</v>
      </c>
      <c r="H51" s="13">
        <v>46073</v>
      </c>
      <c r="I51" s="13">
        <v>46076</v>
      </c>
      <c r="J51" s="13">
        <v>46079</v>
      </c>
      <c r="K51" s="13" t="s">
        <v>236</v>
      </c>
      <c r="L51" s="9" t="s">
        <v>224</v>
      </c>
      <c r="M51" s="14">
        <v>371941</v>
      </c>
      <c r="N51" s="14">
        <v>0</v>
      </c>
      <c r="O51" s="14" t="s">
        <v>235</v>
      </c>
      <c r="P51" s="9">
        <v>0</v>
      </c>
      <c r="Q51" s="9">
        <v>0</v>
      </c>
      <c r="R51" s="15" t="s">
        <v>232</v>
      </c>
    </row>
    <row r="52" spans="1:18" x14ac:dyDescent="0.35">
      <c r="A52" s="12" t="str">
        <f t="shared" si="3"/>
        <v>C051</v>
      </c>
      <c r="B52" s="9" t="s">
        <v>76</v>
      </c>
      <c r="C52" s="9" t="s">
        <v>11</v>
      </c>
      <c r="D52" s="9" t="s">
        <v>242</v>
      </c>
      <c r="E52" s="9">
        <f t="shared" ca="1" si="2"/>
        <v>12</v>
      </c>
      <c r="F52" s="9" t="s">
        <v>12</v>
      </c>
      <c r="G52" s="9" t="s">
        <v>16</v>
      </c>
      <c r="H52" s="13">
        <v>46074</v>
      </c>
      <c r="I52" s="13">
        <v>46077</v>
      </c>
      <c r="J52" s="13">
        <v>46081</v>
      </c>
      <c r="K52" s="13">
        <v>46083</v>
      </c>
      <c r="L52" s="9" t="s">
        <v>21</v>
      </c>
      <c r="M52" s="14">
        <v>442527</v>
      </c>
      <c r="N52" s="14">
        <v>402700</v>
      </c>
      <c r="O52" s="14" t="s">
        <v>22</v>
      </c>
      <c r="P52" s="9">
        <v>0</v>
      </c>
      <c r="Q52" s="9">
        <v>-39827</v>
      </c>
      <c r="R52" s="15" t="s">
        <v>231</v>
      </c>
    </row>
    <row r="53" spans="1:18" x14ac:dyDescent="0.35">
      <c r="A53" s="12" t="str">
        <f t="shared" ref="A53:A84" si="4">"C"&amp;TEXT(ROW()-1,"000")</f>
        <v>C052</v>
      </c>
      <c r="B53" s="9" t="s">
        <v>77</v>
      </c>
      <c r="C53" s="9" t="s">
        <v>11</v>
      </c>
      <c r="D53" s="9" t="s">
        <v>239</v>
      </c>
      <c r="E53" s="9">
        <f t="shared" ca="1" si="2"/>
        <v>10</v>
      </c>
      <c r="F53" s="9" t="s">
        <v>13</v>
      </c>
      <c r="G53" s="9" t="s">
        <v>16</v>
      </c>
      <c r="H53" s="13">
        <v>46075</v>
      </c>
      <c r="I53" s="13">
        <v>46076</v>
      </c>
      <c r="J53" s="13" t="s">
        <v>236</v>
      </c>
      <c r="K53" s="13" t="s">
        <v>236</v>
      </c>
      <c r="L53" s="9" t="s">
        <v>223</v>
      </c>
      <c r="M53" s="14">
        <v>554481</v>
      </c>
      <c r="N53" s="14">
        <v>0</v>
      </c>
      <c r="O53" s="14" t="s">
        <v>234</v>
      </c>
      <c r="P53" s="9">
        <v>0</v>
      </c>
      <c r="Q53" s="9">
        <v>0</v>
      </c>
      <c r="R53" s="15" t="s">
        <v>230</v>
      </c>
    </row>
    <row r="54" spans="1:18" x14ac:dyDescent="0.35">
      <c r="A54" s="12" t="str">
        <f t="shared" si="4"/>
        <v>C053</v>
      </c>
      <c r="B54" s="9" t="s">
        <v>78</v>
      </c>
      <c r="C54" s="9" t="s">
        <v>11</v>
      </c>
      <c r="D54" s="9" t="s">
        <v>239</v>
      </c>
      <c r="E54" s="9">
        <f t="shared" ca="1" si="2"/>
        <v>0</v>
      </c>
      <c r="F54" s="9" t="s">
        <v>14</v>
      </c>
      <c r="G54" s="9" t="s">
        <v>17</v>
      </c>
      <c r="H54" s="13">
        <v>46076</v>
      </c>
      <c r="I54" s="13">
        <v>46077</v>
      </c>
      <c r="J54" s="13">
        <v>46081</v>
      </c>
      <c r="K54" s="13">
        <v>46082</v>
      </c>
      <c r="L54" s="9" t="s">
        <v>21</v>
      </c>
      <c r="M54" s="14">
        <v>567656</v>
      </c>
      <c r="N54" s="14">
        <v>522244</v>
      </c>
      <c r="O54" s="14" t="s">
        <v>22</v>
      </c>
      <c r="P54" s="9">
        <v>0</v>
      </c>
      <c r="Q54" s="9">
        <v>-45412</v>
      </c>
      <c r="R54" s="15" t="s">
        <v>231</v>
      </c>
    </row>
    <row r="55" spans="1:18" x14ac:dyDescent="0.35">
      <c r="A55" s="12" t="str">
        <f t="shared" si="4"/>
        <v>C054</v>
      </c>
      <c r="B55" s="9" t="s">
        <v>79</v>
      </c>
      <c r="C55" s="9" t="s">
        <v>11</v>
      </c>
      <c r="D55" s="9" t="s">
        <v>242</v>
      </c>
      <c r="E55" s="9">
        <f t="shared" ca="1" si="2"/>
        <v>6</v>
      </c>
      <c r="F55" s="9" t="s">
        <v>15</v>
      </c>
      <c r="G55" s="9" t="s">
        <v>16</v>
      </c>
      <c r="H55" s="13">
        <v>46077</v>
      </c>
      <c r="I55" s="13">
        <v>46080</v>
      </c>
      <c r="J55" s="13">
        <v>46085</v>
      </c>
      <c r="K55" s="13">
        <v>46087</v>
      </c>
      <c r="L55" s="9" t="s">
        <v>21</v>
      </c>
      <c r="M55" s="14">
        <v>473648</v>
      </c>
      <c r="N55" s="14">
        <v>440493</v>
      </c>
      <c r="O55" s="14" t="s">
        <v>22</v>
      </c>
      <c r="P55" s="9">
        <v>0</v>
      </c>
      <c r="Q55" s="9">
        <v>-33155</v>
      </c>
      <c r="R55" s="15" t="s">
        <v>231</v>
      </c>
    </row>
    <row r="56" spans="1:18" x14ac:dyDescent="0.35">
      <c r="A56" s="12" t="str">
        <f t="shared" si="4"/>
        <v>C055</v>
      </c>
      <c r="B56" s="9" t="s">
        <v>80</v>
      </c>
      <c r="C56" s="9" t="s">
        <v>11</v>
      </c>
      <c r="D56" s="9" t="s">
        <v>242</v>
      </c>
      <c r="E56" s="9">
        <f t="shared" ca="1" si="2"/>
        <v>11</v>
      </c>
      <c r="F56" s="9" t="s">
        <v>15</v>
      </c>
      <c r="G56" s="9" t="s">
        <v>17</v>
      </c>
      <c r="H56" s="13">
        <v>46078</v>
      </c>
      <c r="I56" s="13">
        <v>46080</v>
      </c>
      <c r="J56" s="13">
        <v>46082</v>
      </c>
      <c r="K56" s="13">
        <v>46085</v>
      </c>
      <c r="L56" s="9" t="s">
        <v>20</v>
      </c>
      <c r="M56" s="14">
        <v>503858</v>
      </c>
      <c r="N56" s="14">
        <v>453472</v>
      </c>
      <c r="O56" s="14" t="s">
        <v>236</v>
      </c>
      <c r="P56" s="9">
        <v>21</v>
      </c>
      <c r="Q56" s="9">
        <v>-50386</v>
      </c>
      <c r="R56" s="15" t="s">
        <v>229</v>
      </c>
    </row>
    <row r="57" spans="1:18" x14ac:dyDescent="0.35">
      <c r="A57" s="12" t="str">
        <f t="shared" si="4"/>
        <v>C056</v>
      </c>
      <c r="B57" s="9" t="s">
        <v>81</v>
      </c>
      <c r="C57" s="9" t="s">
        <v>11</v>
      </c>
      <c r="D57" s="9" t="s">
        <v>242</v>
      </c>
      <c r="E57" s="9">
        <f t="shared" ca="1" si="2"/>
        <v>12</v>
      </c>
      <c r="F57" s="9" t="s">
        <v>13</v>
      </c>
      <c r="G57" s="9" t="s">
        <v>16</v>
      </c>
      <c r="H57" s="13">
        <v>46079</v>
      </c>
      <c r="I57" s="13">
        <v>46080</v>
      </c>
      <c r="J57" s="13">
        <v>46082</v>
      </c>
      <c r="K57" s="13">
        <v>46085</v>
      </c>
      <c r="L57" s="9" t="s">
        <v>21</v>
      </c>
      <c r="M57" s="14">
        <v>762436</v>
      </c>
      <c r="N57" s="14">
        <v>754812</v>
      </c>
      <c r="O57" s="14" t="s">
        <v>22</v>
      </c>
      <c r="P57" s="9">
        <v>0</v>
      </c>
      <c r="Q57" s="9">
        <v>-7624</v>
      </c>
      <c r="R57" s="15" t="s">
        <v>231</v>
      </c>
    </row>
    <row r="58" spans="1:18" x14ac:dyDescent="0.35">
      <c r="A58" s="12" t="str">
        <f t="shared" si="4"/>
        <v>C057</v>
      </c>
      <c r="B58" s="9" t="s">
        <v>82</v>
      </c>
      <c r="C58" s="9" t="s">
        <v>11</v>
      </c>
      <c r="D58" s="9" t="s">
        <v>239</v>
      </c>
      <c r="E58" s="9">
        <f t="shared" ca="1" si="2"/>
        <v>1</v>
      </c>
      <c r="F58" s="9" t="s">
        <v>13</v>
      </c>
      <c r="G58" s="9" t="s">
        <v>19</v>
      </c>
      <c r="H58" s="13">
        <v>46080</v>
      </c>
      <c r="I58" s="13">
        <v>46081</v>
      </c>
      <c r="J58" s="13" t="s">
        <v>236</v>
      </c>
      <c r="K58" s="13" t="s">
        <v>236</v>
      </c>
      <c r="L58" s="9" t="s">
        <v>223</v>
      </c>
      <c r="M58" s="14">
        <v>634429</v>
      </c>
      <c r="N58" s="14">
        <v>0</v>
      </c>
      <c r="O58" s="14" t="s">
        <v>234</v>
      </c>
      <c r="P58" s="9">
        <v>0</v>
      </c>
      <c r="Q58" s="9">
        <v>0</v>
      </c>
      <c r="R58" s="15" t="s">
        <v>230</v>
      </c>
    </row>
    <row r="59" spans="1:18" x14ac:dyDescent="0.35">
      <c r="A59" s="12" t="str">
        <f t="shared" si="4"/>
        <v>C058</v>
      </c>
      <c r="B59" s="9" t="s">
        <v>83</v>
      </c>
      <c r="C59" s="9" t="s">
        <v>10</v>
      </c>
      <c r="D59" s="9" t="s">
        <v>242</v>
      </c>
      <c r="E59" s="9">
        <f t="shared" ca="1" si="2"/>
        <v>0</v>
      </c>
      <c r="F59" s="9" t="s">
        <v>14</v>
      </c>
      <c r="G59" s="9" t="s">
        <v>16</v>
      </c>
      <c r="H59" s="13">
        <v>46082</v>
      </c>
      <c r="I59" s="13">
        <v>46084</v>
      </c>
      <c r="J59" s="13">
        <v>46089</v>
      </c>
      <c r="K59" s="13">
        <v>46091</v>
      </c>
      <c r="L59" s="9" t="s">
        <v>21</v>
      </c>
      <c r="M59" s="14">
        <v>497146</v>
      </c>
      <c r="N59" s="14">
        <v>497146</v>
      </c>
      <c r="O59" s="14" t="s">
        <v>22</v>
      </c>
      <c r="P59" s="9">
        <v>0</v>
      </c>
      <c r="Q59" s="9">
        <v>0</v>
      </c>
      <c r="R59" s="15" t="s">
        <v>231</v>
      </c>
    </row>
    <row r="60" spans="1:18" x14ac:dyDescent="0.35">
      <c r="A60" s="12" t="str">
        <f t="shared" si="4"/>
        <v>C059</v>
      </c>
      <c r="B60" s="9" t="s">
        <v>84</v>
      </c>
      <c r="C60" s="9" t="s">
        <v>10</v>
      </c>
      <c r="D60" s="9" t="s">
        <v>242</v>
      </c>
      <c r="E60" s="9">
        <f t="shared" ca="1" si="2"/>
        <v>1</v>
      </c>
      <c r="F60" s="9" t="s">
        <v>13</v>
      </c>
      <c r="G60" s="9" t="s">
        <v>18</v>
      </c>
      <c r="H60" s="13">
        <v>46083</v>
      </c>
      <c r="I60" s="13">
        <v>46086</v>
      </c>
      <c r="J60" s="13">
        <v>46090</v>
      </c>
      <c r="K60" s="13">
        <v>46092</v>
      </c>
      <c r="L60" s="9" t="s">
        <v>21</v>
      </c>
      <c r="M60" s="14">
        <v>838387</v>
      </c>
      <c r="N60" s="14">
        <v>830003</v>
      </c>
      <c r="O60" s="14" t="s">
        <v>22</v>
      </c>
      <c r="P60" s="9">
        <v>0</v>
      </c>
      <c r="Q60" s="9">
        <v>-8384</v>
      </c>
      <c r="R60" s="15" t="s">
        <v>231</v>
      </c>
    </row>
    <row r="61" spans="1:18" x14ac:dyDescent="0.35">
      <c r="A61" s="12" t="str">
        <f t="shared" si="4"/>
        <v>C060</v>
      </c>
      <c r="B61" s="9" t="s">
        <v>85</v>
      </c>
      <c r="C61" s="9" t="s">
        <v>11</v>
      </c>
      <c r="D61" s="9" t="s">
        <v>238</v>
      </c>
      <c r="E61" s="9">
        <f t="shared" ca="1" si="2"/>
        <v>0</v>
      </c>
      <c r="F61" s="9" t="s">
        <v>15</v>
      </c>
      <c r="G61" s="9" t="s">
        <v>17</v>
      </c>
      <c r="H61" s="13">
        <v>46084</v>
      </c>
      <c r="I61" s="13">
        <v>46087</v>
      </c>
      <c r="J61" s="13">
        <v>46090</v>
      </c>
      <c r="K61" s="13" t="s">
        <v>236</v>
      </c>
      <c r="L61" s="9" t="s">
        <v>224</v>
      </c>
      <c r="M61" s="14">
        <v>555997</v>
      </c>
      <c r="N61" s="14">
        <v>0</v>
      </c>
      <c r="O61" s="14" t="s">
        <v>235</v>
      </c>
      <c r="P61" s="9">
        <v>0</v>
      </c>
      <c r="Q61" s="9">
        <v>0</v>
      </c>
      <c r="R61" s="15" t="s">
        <v>232</v>
      </c>
    </row>
    <row r="62" spans="1:18" x14ac:dyDescent="0.35">
      <c r="A62" s="12" t="str">
        <f t="shared" si="4"/>
        <v>C061</v>
      </c>
      <c r="B62" s="9" t="s">
        <v>86</v>
      </c>
      <c r="C62" s="9" t="s">
        <v>11</v>
      </c>
      <c r="D62" s="9" t="s">
        <v>240</v>
      </c>
      <c r="E62" s="9">
        <f t="shared" ca="1" si="2"/>
        <v>5</v>
      </c>
      <c r="F62" s="9" t="s">
        <v>13</v>
      </c>
      <c r="G62" s="9" t="s">
        <v>18</v>
      </c>
      <c r="H62" s="13">
        <v>46085</v>
      </c>
      <c r="I62" s="13">
        <v>46088</v>
      </c>
      <c r="J62" s="13">
        <v>46090</v>
      </c>
      <c r="K62" s="13">
        <v>46092</v>
      </c>
      <c r="L62" s="9" t="s">
        <v>21</v>
      </c>
      <c r="M62" s="14">
        <v>1037106</v>
      </c>
      <c r="N62" s="14">
        <v>954138</v>
      </c>
      <c r="O62" s="14" t="s">
        <v>22</v>
      </c>
      <c r="P62" s="9">
        <v>0</v>
      </c>
      <c r="Q62" s="9">
        <v>-82968</v>
      </c>
      <c r="R62" s="15" t="s">
        <v>231</v>
      </c>
    </row>
    <row r="63" spans="1:18" x14ac:dyDescent="0.35">
      <c r="A63" s="12" t="str">
        <f t="shared" si="4"/>
        <v>C062</v>
      </c>
      <c r="B63" s="9" t="s">
        <v>87</v>
      </c>
      <c r="C63" s="9" t="s">
        <v>10</v>
      </c>
      <c r="D63" s="9" t="s">
        <v>238</v>
      </c>
      <c r="E63" s="9">
        <f t="shared" ca="1" si="2"/>
        <v>3</v>
      </c>
      <c r="F63" s="9" t="s">
        <v>15</v>
      </c>
      <c r="G63" s="9" t="s">
        <v>17</v>
      </c>
      <c r="H63" s="13">
        <v>46086</v>
      </c>
      <c r="I63" s="13">
        <v>46089</v>
      </c>
      <c r="J63" s="13">
        <v>46093</v>
      </c>
      <c r="K63" s="13">
        <v>46095</v>
      </c>
      <c r="L63" s="9" t="s">
        <v>20</v>
      </c>
      <c r="M63" s="14">
        <v>554125</v>
      </c>
      <c r="N63" s="14">
        <v>543043</v>
      </c>
      <c r="O63" s="14" t="s">
        <v>236</v>
      </c>
      <c r="P63" s="9">
        <v>25</v>
      </c>
      <c r="Q63" s="9">
        <v>-11082</v>
      </c>
      <c r="R63" s="15" t="s">
        <v>229</v>
      </c>
    </row>
    <row r="64" spans="1:18" x14ac:dyDescent="0.35">
      <c r="A64" s="12" t="str">
        <f t="shared" si="4"/>
        <v>C063</v>
      </c>
      <c r="B64" s="9" t="s">
        <v>88</v>
      </c>
      <c r="C64" s="9" t="s">
        <v>10</v>
      </c>
      <c r="D64" s="9" t="s">
        <v>242</v>
      </c>
      <c r="E64" s="9">
        <f t="shared" ca="1" si="2"/>
        <v>3</v>
      </c>
      <c r="F64" s="9" t="s">
        <v>14</v>
      </c>
      <c r="G64" s="9" t="s">
        <v>18</v>
      </c>
      <c r="H64" s="13">
        <v>46087</v>
      </c>
      <c r="I64" s="13">
        <v>46090</v>
      </c>
      <c r="J64" s="13">
        <v>46092</v>
      </c>
      <c r="K64" s="13">
        <v>46094</v>
      </c>
      <c r="L64" s="9" t="s">
        <v>21</v>
      </c>
      <c r="M64" s="14">
        <v>361278</v>
      </c>
      <c r="N64" s="14">
        <v>325150</v>
      </c>
      <c r="O64" s="14" t="s">
        <v>22</v>
      </c>
      <c r="P64" s="9">
        <v>0</v>
      </c>
      <c r="Q64" s="9">
        <v>-36128</v>
      </c>
      <c r="R64" s="15" t="s">
        <v>231</v>
      </c>
    </row>
    <row r="65" spans="1:18" x14ac:dyDescent="0.35">
      <c r="A65" s="12" t="str">
        <f t="shared" si="4"/>
        <v>C064</v>
      </c>
      <c r="B65" s="9" t="s">
        <v>89</v>
      </c>
      <c r="C65" s="9" t="s">
        <v>10</v>
      </c>
      <c r="D65" s="9" t="s">
        <v>239</v>
      </c>
      <c r="E65" s="9">
        <f t="shared" ca="1" si="2"/>
        <v>2</v>
      </c>
      <c r="F65" s="9" t="s">
        <v>14</v>
      </c>
      <c r="G65" s="9" t="s">
        <v>17</v>
      </c>
      <c r="H65" s="13">
        <v>46088</v>
      </c>
      <c r="I65" s="13">
        <v>46091</v>
      </c>
      <c r="J65" s="13">
        <v>46096</v>
      </c>
      <c r="K65" s="13" t="s">
        <v>236</v>
      </c>
      <c r="L65" s="9" t="s">
        <v>224</v>
      </c>
      <c r="M65" s="14">
        <v>555342</v>
      </c>
      <c r="N65" s="14">
        <v>0</v>
      </c>
      <c r="O65" s="14" t="s">
        <v>235</v>
      </c>
      <c r="P65" s="9">
        <v>0</v>
      </c>
      <c r="Q65" s="9">
        <v>0</v>
      </c>
      <c r="R65" s="15" t="s">
        <v>232</v>
      </c>
    </row>
    <row r="66" spans="1:18" x14ac:dyDescent="0.35">
      <c r="A66" s="12" t="str">
        <f t="shared" si="4"/>
        <v>C065</v>
      </c>
      <c r="B66" s="9" t="s">
        <v>90</v>
      </c>
      <c r="C66" s="9" t="s">
        <v>11</v>
      </c>
      <c r="D66" s="9" t="s">
        <v>239</v>
      </c>
      <c r="E66" s="9">
        <f t="shared" ca="1" si="2"/>
        <v>10</v>
      </c>
      <c r="F66" s="9" t="s">
        <v>15</v>
      </c>
      <c r="G66" s="9" t="s">
        <v>18</v>
      </c>
      <c r="H66" s="13">
        <v>46089</v>
      </c>
      <c r="I66" s="13">
        <v>46092</v>
      </c>
      <c r="J66" s="13">
        <v>46095</v>
      </c>
      <c r="K66" s="13">
        <v>46096</v>
      </c>
      <c r="L66" s="9" t="s">
        <v>20</v>
      </c>
      <c r="M66" s="14">
        <v>376446</v>
      </c>
      <c r="N66" s="14">
        <v>350095</v>
      </c>
      <c r="O66" s="14" t="s">
        <v>236</v>
      </c>
      <c r="P66" s="9">
        <v>25</v>
      </c>
      <c r="Q66" s="9">
        <v>-26351</v>
      </c>
      <c r="R66" s="15" t="s">
        <v>229</v>
      </c>
    </row>
    <row r="67" spans="1:18" x14ac:dyDescent="0.35">
      <c r="A67" s="12" t="str">
        <f t="shared" si="4"/>
        <v>C066</v>
      </c>
      <c r="B67" s="9" t="s">
        <v>91</v>
      </c>
      <c r="C67" s="9" t="s">
        <v>10</v>
      </c>
      <c r="D67" s="9" t="s">
        <v>241</v>
      </c>
      <c r="E67" s="9">
        <f t="shared" ca="1" si="2"/>
        <v>12</v>
      </c>
      <c r="F67" s="9" t="s">
        <v>13</v>
      </c>
      <c r="G67" s="9" t="s">
        <v>17</v>
      </c>
      <c r="H67" s="13">
        <v>46090</v>
      </c>
      <c r="I67" s="13">
        <v>46093</v>
      </c>
      <c r="J67" s="13">
        <v>46098</v>
      </c>
      <c r="K67" s="13" t="s">
        <v>236</v>
      </c>
      <c r="L67" s="9" t="s">
        <v>224</v>
      </c>
      <c r="M67" s="14">
        <v>600156</v>
      </c>
      <c r="N67" s="14">
        <v>0</v>
      </c>
      <c r="O67" s="14" t="s">
        <v>235</v>
      </c>
      <c r="P67" s="9">
        <v>0</v>
      </c>
      <c r="Q67" s="9">
        <v>0</v>
      </c>
      <c r="R67" s="15" t="s">
        <v>232</v>
      </c>
    </row>
    <row r="68" spans="1:18" x14ac:dyDescent="0.35">
      <c r="A68" s="12" t="str">
        <f t="shared" si="4"/>
        <v>C067</v>
      </c>
      <c r="B68" s="9" t="s">
        <v>92</v>
      </c>
      <c r="C68" s="9" t="s">
        <v>10</v>
      </c>
      <c r="D68" s="9" t="s">
        <v>238</v>
      </c>
      <c r="E68" s="9">
        <f t="shared" ca="1" si="2"/>
        <v>7</v>
      </c>
      <c r="F68" s="9" t="s">
        <v>12</v>
      </c>
      <c r="G68" s="9" t="s">
        <v>16</v>
      </c>
      <c r="H68" s="13">
        <v>46091</v>
      </c>
      <c r="I68" s="13">
        <v>46092</v>
      </c>
      <c r="J68" s="13" t="s">
        <v>236</v>
      </c>
      <c r="K68" s="13" t="s">
        <v>236</v>
      </c>
      <c r="L68" s="9" t="s">
        <v>223</v>
      </c>
      <c r="M68" s="14">
        <v>334155</v>
      </c>
      <c r="N68" s="14">
        <v>0</v>
      </c>
      <c r="O68" s="14" t="s">
        <v>234</v>
      </c>
      <c r="P68" s="9">
        <v>0</v>
      </c>
      <c r="Q68" s="9">
        <v>0</v>
      </c>
      <c r="R68" s="15" t="s">
        <v>230</v>
      </c>
    </row>
    <row r="69" spans="1:18" x14ac:dyDescent="0.35">
      <c r="A69" s="12" t="str">
        <f t="shared" si="4"/>
        <v>C068</v>
      </c>
      <c r="B69" s="9" t="s">
        <v>93</v>
      </c>
      <c r="C69" s="9" t="s">
        <v>10</v>
      </c>
      <c r="D69" s="9" t="s">
        <v>242</v>
      </c>
      <c r="E69" s="9">
        <f t="shared" ca="1" si="2"/>
        <v>10</v>
      </c>
      <c r="F69" s="9" t="s">
        <v>12</v>
      </c>
      <c r="G69" s="9" t="s">
        <v>17</v>
      </c>
      <c r="H69" s="13">
        <v>46092</v>
      </c>
      <c r="I69" s="13">
        <v>46095</v>
      </c>
      <c r="J69" s="13">
        <v>46100</v>
      </c>
      <c r="K69" s="13">
        <v>46103</v>
      </c>
      <c r="L69" s="9" t="s">
        <v>20</v>
      </c>
      <c r="M69" s="14">
        <v>316745</v>
      </c>
      <c r="N69" s="14">
        <v>304075</v>
      </c>
      <c r="O69" s="14" t="s">
        <v>236</v>
      </c>
      <c r="P69" s="9">
        <v>21</v>
      </c>
      <c r="Q69" s="9">
        <v>-12670</v>
      </c>
      <c r="R69" s="15" t="s">
        <v>229</v>
      </c>
    </row>
    <row r="70" spans="1:18" x14ac:dyDescent="0.35">
      <c r="A70" s="12" t="str">
        <f t="shared" si="4"/>
        <v>C069</v>
      </c>
      <c r="B70" s="9" t="s">
        <v>94</v>
      </c>
      <c r="C70" s="9" t="s">
        <v>11</v>
      </c>
      <c r="D70" s="9" t="s">
        <v>238</v>
      </c>
      <c r="E70" s="9">
        <f t="shared" ca="1" si="2"/>
        <v>6</v>
      </c>
      <c r="F70" s="9" t="s">
        <v>13</v>
      </c>
      <c r="G70" s="9" t="s">
        <v>17</v>
      </c>
      <c r="H70" s="13">
        <v>46093</v>
      </c>
      <c r="I70" s="13">
        <v>46094</v>
      </c>
      <c r="J70" s="13">
        <v>46098</v>
      </c>
      <c r="K70" s="13">
        <v>46101</v>
      </c>
      <c r="L70" s="9" t="s">
        <v>21</v>
      </c>
      <c r="M70" s="14">
        <v>360013</v>
      </c>
      <c r="N70" s="14">
        <v>349213</v>
      </c>
      <c r="O70" s="14" t="s">
        <v>22</v>
      </c>
      <c r="P70" s="9">
        <v>0</v>
      </c>
      <c r="Q70" s="9">
        <v>-10800</v>
      </c>
      <c r="R70" s="15" t="s">
        <v>231</v>
      </c>
    </row>
    <row r="71" spans="1:18" x14ac:dyDescent="0.35">
      <c r="A71" s="12" t="str">
        <f t="shared" si="4"/>
        <v>C070</v>
      </c>
      <c r="B71" s="9" t="s">
        <v>95</v>
      </c>
      <c r="C71" s="9" t="s">
        <v>11</v>
      </c>
      <c r="D71" s="9" t="s">
        <v>241</v>
      </c>
      <c r="E71" s="9">
        <f t="shared" ca="1" si="2"/>
        <v>2</v>
      </c>
      <c r="F71" s="9" t="s">
        <v>13</v>
      </c>
      <c r="G71" s="9" t="s">
        <v>17</v>
      </c>
      <c r="H71" s="13">
        <v>46094</v>
      </c>
      <c r="I71" s="13">
        <v>46097</v>
      </c>
      <c r="J71" s="13" t="s">
        <v>236</v>
      </c>
      <c r="K71" s="13" t="s">
        <v>236</v>
      </c>
      <c r="L71" s="9" t="s">
        <v>223</v>
      </c>
      <c r="M71" s="14">
        <v>1109161</v>
      </c>
      <c r="N71" s="14">
        <v>0</v>
      </c>
      <c r="O71" s="14" t="s">
        <v>234</v>
      </c>
      <c r="P71" s="9">
        <v>0</v>
      </c>
      <c r="Q71" s="9">
        <v>0</v>
      </c>
      <c r="R71" s="15" t="s">
        <v>230</v>
      </c>
    </row>
    <row r="72" spans="1:18" x14ac:dyDescent="0.35">
      <c r="A72" s="12" t="str">
        <f t="shared" si="4"/>
        <v>C071</v>
      </c>
      <c r="B72" s="9" t="s">
        <v>96</v>
      </c>
      <c r="C72" s="9" t="s">
        <v>10</v>
      </c>
      <c r="D72" s="9" t="s">
        <v>240</v>
      </c>
      <c r="E72" s="9">
        <f t="shared" ca="1" si="2"/>
        <v>3</v>
      </c>
      <c r="F72" s="9" t="s">
        <v>15</v>
      </c>
      <c r="G72" s="9" t="s">
        <v>19</v>
      </c>
      <c r="H72" s="13">
        <v>46095</v>
      </c>
      <c r="I72" s="13">
        <v>46098</v>
      </c>
      <c r="J72" s="13" t="s">
        <v>236</v>
      </c>
      <c r="K72" s="13" t="s">
        <v>236</v>
      </c>
      <c r="L72" s="9" t="s">
        <v>223</v>
      </c>
      <c r="M72" s="14">
        <v>451985</v>
      </c>
      <c r="N72" s="14">
        <v>0</v>
      </c>
      <c r="O72" s="14" t="s">
        <v>234</v>
      </c>
      <c r="P72" s="9">
        <v>0</v>
      </c>
      <c r="Q72" s="9">
        <v>0</v>
      </c>
      <c r="R72" s="15" t="s">
        <v>230</v>
      </c>
    </row>
    <row r="73" spans="1:18" x14ac:dyDescent="0.35">
      <c r="A73" s="12" t="str">
        <f t="shared" si="4"/>
        <v>C072</v>
      </c>
      <c r="B73" s="9" t="s">
        <v>97</v>
      </c>
      <c r="C73" s="9" t="s">
        <v>11</v>
      </c>
      <c r="D73" s="9" t="s">
        <v>240</v>
      </c>
      <c r="E73" s="9">
        <f t="shared" ca="1" si="2"/>
        <v>6</v>
      </c>
      <c r="F73" s="9" t="s">
        <v>12</v>
      </c>
      <c r="G73" s="9" t="s">
        <v>17</v>
      </c>
      <c r="H73" s="13">
        <v>46096</v>
      </c>
      <c r="I73" s="13">
        <v>46097</v>
      </c>
      <c r="J73" s="13">
        <v>46101</v>
      </c>
      <c r="K73" s="13">
        <v>46104</v>
      </c>
      <c r="L73" s="9" t="s">
        <v>20</v>
      </c>
      <c r="M73" s="14">
        <v>329312</v>
      </c>
      <c r="N73" s="14">
        <v>302967</v>
      </c>
      <c r="O73" s="14" t="s">
        <v>236</v>
      </c>
      <c r="P73" s="9">
        <v>23</v>
      </c>
      <c r="Q73" s="9">
        <v>-26345</v>
      </c>
      <c r="R73" s="15" t="s">
        <v>229</v>
      </c>
    </row>
    <row r="74" spans="1:18" x14ac:dyDescent="0.35">
      <c r="A74" s="12" t="str">
        <f t="shared" si="4"/>
        <v>C073</v>
      </c>
      <c r="B74" s="9" t="s">
        <v>98</v>
      </c>
      <c r="C74" s="9" t="s">
        <v>11</v>
      </c>
      <c r="D74" s="9" t="s">
        <v>239</v>
      </c>
      <c r="E74" s="9">
        <f t="shared" ca="1" si="2"/>
        <v>2</v>
      </c>
      <c r="F74" s="9" t="s">
        <v>14</v>
      </c>
      <c r="G74" s="9" t="s">
        <v>16</v>
      </c>
      <c r="H74" s="13">
        <v>46097</v>
      </c>
      <c r="I74" s="13">
        <v>46100</v>
      </c>
      <c r="J74" s="13">
        <v>46102</v>
      </c>
      <c r="K74" s="13">
        <v>46105</v>
      </c>
      <c r="L74" s="9" t="s">
        <v>20</v>
      </c>
      <c r="M74" s="14">
        <v>582122</v>
      </c>
      <c r="N74" s="14">
        <v>553016</v>
      </c>
      <c r="O74" s="14" t="s">
        <v>236</v>
      </c>
      <c r="P74" s="9">
        <v>25</v>
      </c>
      <c r="Q74" s="9">
        <v>-29106</v>
      </c>
      <c r="R74" s="15" t="s">
        <v>229</v>
      </c>
    </row>
    <row r="75" spans="1:18" x14ac:dyDescent="0.35">
      <c r="A75" s="12" t="str">
        <f t="shared" si="4"/>
        <v>C074</v>
      </c>
      <c r="B75" s="9" t="s">
        <v>99</v>
      </c>
      <c r="C75" s="9" t="s">
        <v>10</v>
      </c>
      <c r="D75" s="9" t="s">
        <v>238</v>
      </c>
      <c r="E75" s="9">
        <f t="shared" ca="1" si="2"/>
        <v>7</v>
      </c>
      <c r="F75" s="9" t="s">
        <v>12</v>
      </c>
      <c r="G75" s="9" t="s">
        <v>19</v>
      </c>
      <c r="H75" s="13">
        <v>46098</v>
      </c>
      <c r="I75" s="13">
        <v>46101</v>
      </c>
      <c r="J75" s="13">
        <v>46104</v>
      </c>
      <c r="K75" s="13" t="s">
        <v>236</v>
      </c>
      <c r="L75" s="9" t="s">
        <v>224</v>
      </c>
      <c r="M75" s="14">
        <v>312665</v>
      </c>
      <c r="N75" s="14">
        <v>0</v>
      </c>
      <c r="O75" s="14" t="s">
        <v>235</v>
      </c>
      <c r="P75" s="9">
        <v>0</v>
      </c>
      <c r="Q75" s="9">
        <v>0</v>
      </c>
      <c r="R75" s="15" t="s">
        <v>232</v>
      </c>
    </row>
    <row r="76" spans="1:18" x14ac:dyDescent="0.35">
      <c r="A76" s="12" t="str">
        <f t="shared" si="4"/>
        <v>C075</v>
      </c>
      <c r="B76" s="9" t="s">
        <v>100</v>
      </c>
      <c r="C76" s="9" t="s">
        <v>10</v>
      </c>
      <c r="D76" s="9" t="s">
        <v>239</v>
      </c>
      <c r="E76" s="9">
        <f t="shared" ca="1" si="2"/>
        <v>8</v>
      </c>
      <c r="F76" s="9" t="s">
        <v>14</v>
      </c>
      <c r="G76" s="9" t="s">
        <v>18</v>
      </c>
      <c r="H76" s="13">
        <v>46099</v>
      </c>
      <c r="I76" s="13">
        <v>46100</v>
      </c>
      <c r="J76" s="13">
        <v>46103</v>
      </c>
      <c r="K76" s="13">
        <v>46105</v>
      </c>
      <c r="L76" s="9" t="s">
        <v>21</v>
      </c>
      <c r="M76" s="14">
        <v>457450</v>
      </c>
      <c r="N76" s="14">
        <v>452876</v>
      </c>
      <c r="O76" s="14" t="s">
        <v>22</v>
      </c>
      <c r="P76" s="9">
        <v>0</v>
      </c>
      <c r="Q76" s="9">
        <v>-4574</v>
      </c>
      <c r="R76" s="15" t="s">
        <v>231</v>
      </c>
    </row>
    <row r="77" spans="1:18" x14ac:dyDescent="0.35">
      <c r="A77" s="12" t="str">
        <f t="shared" si="4"/>
        <v>C076</v>
      </c>
      <c r="B77" s="9" t="s">
        <v>101</v>
      </c>
      <c r="C77" s="9" t="s">
        <v>11</v>
      </c>
      <c r="D77" s="9" t="s">
        <v>241</v>
      </c>
      <c r="E77" s="9">
        <f t="shared" ca="1" si="2"/>
        <v>11</v>
      </c>
      <c r="F77" s="9" t="s">
        <v>12</v>
      </c>
      <c r="G77" s="9" t="s">
        <v>16</v>
      </c>
      <c r="H77" s="13">
        <v>46100</v>
      </c>
      <c r="I77" s="13">
        <v>46101</v>
      </c>
      <c r="J77" s="13">
        <v>46103</v>
      </c>
      <c r="K77" s="13" t="s">
        <v>236</v>
      </c>
      <c r="L77" s="9" t="s">
        <v>224</v>
      </c>
      <c r="M77" s="14">
        <v>573454</v>
      </c>
      <c r="N77" s="14">
        <v>0</v>
      </c>
      <c r="O77" s="14" t="s">
        <v>235</v>
      </c>
      <c r="P77" s="9">
        <v>0</v>
      </c>
      <c r="Q77" s="9">
        <v>0</v>
      </c>
      <c r="R77" s="15" t="s">
        <v>232</v>
      </c>
    </row>
    <row r="78" spans="1:18" x14ac:dyDescent="0.35">
      <c r="A78" s="12" t="str">
        <f t="shared" si="4"/>
        <v>C077</v>
      </c>
      <c r="B78" s="9" t="s">
        <v>102</v>
      </c>
      <c r="C78" s="9" t="s">
        <v>10</v>
      </c>
      <c r="D78" s="9" t="s">
        <v>239</v>
      </c>
      <c r="E78" s="9">
        <f t="shared" ca="1" si="2"/>
        <v>4</v>
      </c>
      <c r="F78" s="9" t="s">
        <v>15</v>
      </c>
      <c r="G78" s="9" t="s">
        <v>16</v>
      </c>
      <c r="H78" s="13">
        <v>46101</v>
      </c>
      <c r="I78" s="13">
        <v>46102</v>
      </c>
      <c r="J78" s="13">
        <v>46105</v>
      </c>
      <c r="K78" s="13" t="s">
        <v>236</v>
      </c>
      <c r="L78" s="9" t="s">
        <v>224</v>
      </c>
      <c r="M78" s="14">
        <v>443406</v>
      </c>
      <c r="N78" s="14">
        <v>0</v>
      </c>
      <c r="O78" s="14" t="s">
        <v>235</v>
      </c>
      <c r="P78" s="9">
        <v>0</v>
      </c>
      <c r="Q78" s="9">
        <v>0</v>
      </c>
      <c r="R78" s="15" t="s">
        <v>232</v>
      </c>
    </row>
    <row r="79" spans="1:18" x14ac:dyDescent="0.35">
      <c r="A79" s="12" t="str">
        <f t="shared" si="4"/>
        <v>C078</v>
      </c>
      <c r="B79" s="9" t="s">
        <v>103</v>
      </c>
      <c r="C79" s="9" t="s">
        <v>10</v>
      </c>
      <c r="D79" s="9" t="s">
        <v>242</v>
      </c>
      <c r="E79" s="9">
        <f t="shared" ca="1" si="2"/>
        <v>11</v>
      </c>
      <c r="F79" s="9" t="s">
        <v>12</v>
      </c>
      <c r="G79" s="9" t="s">
        <v>17</v>
      </c>
      <c r="H79" s="13">
        <v>46102</v>
      </c>
      <c r="I79" s="13">
        <v>46103</v>
      </c>
      <c r="J79" s="13">
        <v>46106</v>
      </c>
      <c r="K79" s="13">
        <v>46108</v>
      </c>
      <c r="L79" s="9" t="s">
        <v>20</v>
      </c>
      <c r="M79" s="14">
        <v>460432</v>
      </c>
      <c r="N79" s="14">
        <v>451223</v>
      </c>
      <c r="O79" s="14" t="s">
        <v>236</v>
      </c>
      <c r="P79" s="9">
        <v>23</v>
      </c>
      <c r="Q79" s="9">
        <v>-9209</v>
      </c>
      <c r="R79" s="15" t="s">
        <v>229</v>
      </c>
    </row>
    <row r="80" spans="1:18" x14ac:dyDescent="0.35">
      <c r="A80" s="12" t="str">
        <f t="shared" si="4"/>
        <v>C079</v>
      </c>
      <c r="B80" s="9" t="s">
        <v>104</v>
      </c>
      <c r="C80" s="9" t="s">
        <v>11</v>
      </c>
      <c r="D80" s="9" t="s">
        <v>240</v>
      </c>
      <c r="E80" s="9">
        <f t="shared" ca="1" si="2"/>
        <v>6</v>
      </c>
      <c r="F80" s="9" t="s">
        <v>13</v>
      </c>
      <c r="G80" s="9" t="s">
        <v>17</v>
      </c>
      <c r="H80" s="13">
        <v>46103</v>
      </c>
      <c r="I80" s="13">
        <v>46105</v>
      </c>
      <c r="J80" s="13">
        <v>46109</v>
      </c>
      <c r="K80" s="13">
        <v>46111</v>
      </c>
      <c r="L80" s="9" t="s">
        <v>20</v>
      </c>
      <c r="M80" s="14">
        <v>1158682</v>
      </c>
      <c r="N80" s="14">
        <v>1089161</v>
      </c>
      <c r="O80" s="14" t="s">
        <v>236</v>
      </c>
      <c r="P80" s="9">
        <v>21</v>
      </c>
      <c r="Q80" s="9">
        <v>-69521</v>
      </c>
      <c r="R80" s="15" t="s">
        <v>229</v>
      </c>
    </row>
    <row r="81" spans="1:18" x14ac:dyDescent="0.35">
      <c r="A81" s="12" t="str">
        <f t="shared" si="4"/>
        <v>C080</v>
      </c>
      <c r="B81" s="9" t="s">
        <v>105</v>
      </c>
      <c r="C81" s="9" t="s">
        <v>11</v>
      </c>
      <c r="D81" s="9" t="s">
        <v>241</v>
      </c>
      <c r="E81" s="9">
        <f t="shared" ca="1" si="2"/>
        <v>1</v>
      </c>
      <c r="F81" s="9" t="s">
        <v>12</v>
      </c>
      <c r="G81" s="9" t="s">
        <v>16</v>
      </c>
      <c r="H81" s="13">
        <v>46104</v>
      </c>
      <c r="I81" s="13">
        <v>46107</v>
      </c>
      <c r="J81" s="13">
        <v>46112</v>
      </c>
      <c r="K81" s="13" t="s">
        <v>236</v>
      </c>
      <c r="L81" s="9" t="s">
        <v>224</v>
      </c>
      <c r="M81" s="14">
        <v>557568</v>
      </c>
      <c r="N81" s="14">
        <v>0</v>
      </c>
      <c r="O81" s="14" t="s">
        <v>235</v>
      </c>
      <c r="P81" s="9">
        <v>0</v>
      </c>
      <c r="Q81" s="9">
        <v>0</v>
      </c>
      <c r="R81" s="15" t="s">
        <v>232</v>
      </c>
    </row>
    <row r="82" spans="1:18" x14ac:dyDescent="0.35">
      <c r="A82" s="12" t="str">
        <f t="shared" si="4"/>
        <v>C081</v>
      </c>
      <c r="B82" s="9" t="s">
        <v>106</v>
      </c>
      <c r="C82" s="9" t="s">
        <v>11</v>
      </c>
      <c r="D82" s="9" t="s">
        <v>239</v>
      </c>
      <c r="E82" s="9">
        <f t="shared" ca="1" si="2"/>
        <v>11</v>
      </c>
      <c r="F82" s="9" t="s">
        <v>12</v>
      </c>
      <c r="G82" s="9" t="s">
        <v>17</v>
      </c>
      <c r="H82" s="13">
        <v>46105</v>
      </c>
      <c r="I82" s="13">
        <v>46106</v>
      </c>
      <c r="J82" s="13">
        <v>46111</v>
      </c>
      <c r="K82" s="13">
        <v>46114</v>
      </c>
      <c r="L82" s="9" t="s">
        <v>21</v>
      </c>
      <c r="M82" s="14">
        <v>568488</v>
      </c>
      <c r="N82" s="14">
        <v>540064</v>
      </c>
      <c r="O82" s="14" t="s">
        <v>22</v>
      </c>
      <c r="P82" s="9">
        <v>0</v>
      </c>
      <c r="Q82" s="9">
        <v>-28424</v>
      </c>
      <c r="R82" s="15" t="s">
        <v>231</v>
      </c>
    </row>
    <row r="83" spans="1:18" x14ac:dyDescent="0.35">
      <c r="A83" s="12" t="str">
        <f t="shared" si="4"/>
        <v>C082</v>
      </c>
      <c r="B83" s="9" t="s">
        <v>107</v>
      </c>
      <c r="C83" s="9" t="s">
        <v>10</v>
      </c>
      <c r="D83" s="9" t="s">
        <v>241</v>
      </c>
      <c r="E83" s="9">
        <f t="shared" ca="1" si="2"/>
        <v>2</v>
      </c>
      <c r="F83" s="9" t="s">
        <v>13</v>
      </c>
      <c r="G83" s="9" t="s">
        <v>16</v>
      </c>
      <c r="H83" s="13">
        <v>46106</v>
      </c>
      <c r="I83" s="13">
        <v>46108</v>
      </c>
      <c r="J83" s="13">
        <v>46111</v>
      </c>
      <c r="K83" s="13" t="s">
        <v>236</v>
      </c>
      <c r="L83" s="9" t="s">
        <v>224</v>
      </c>
      <c r="M83" s="14">
        <v>620369</v>
      </c>
      <c r="N83" s="14">
        <v>0</v>
      </c>
      <c r="O83" s="14" t="s">
        <v>235</v>
      </c>
      <c r="P83" s="9">
        <v>0</v>
      </c>
      <c r="Q83" s="9">
        <v>0</v>
      </c>
      <c r="R83" s="15" t="s">
        <v>232</v>
      </c>
    </row>
    <row r="84" spans="1:18" x14ac:dyDescent="0.35">
      <c r="A84" s="12" t="str">
        <f t="shared" si="4"/>
        <v>C083</v>
      </c>
      <c r="B84" s="9" t="s">
        <v>108</v>
      </c>
      <c r="C84" s="9" t="s">
        <v>11</v>
      </c>
      <c r="D84" s="9" t="s">
        <v>240</v>
      </c>
      <c r="E84" s="9">
        <f t="shared" ref="E84:E147" ca="1" si="5">RANDBETWEEN(0,12)</f>
        <v>12</v>
      </c>
      <c r="F84" s="9" t="s">
        <v>12</v>
      </c>
      <c r="G84" s="9" t="s">
        <v>17</v>
      </c>
      <c r="H84" s="13">
        <v>46107</v>
      </c>
      <c r="I84" s="13">
        <v>46109</v>
      </c>
      <c r="J84" s="13" t="s">
        <v>236</v>
      </c>
      <c r="K84" s="13" t="s">
        <v>236</v>
      </c>
      <c r="L84" s="9" t="s">
        <v>223</v>
      </c>
      <c r="M84" s="14">
        <v>486003</v>
      </c>
      <c r="N84" s="14">
        <v>0</v>
      </c>
      <c r="O84" s="14" t="s">
        <v>234</v>
      </c>
      <c r="P84" s="9">
        <v>0</v>
      </c>
      <c r="Q84" s="9">
        <v>0</v>
      </c>
      <c r="R84" s="15" t="s">
        <v>230</v>
      </c>
    </row>
    <row r="85" spans="1:18" x14ac:dyDescent="0.35">
      <c r="A85" s="12" t="str">
        <f t="shared" ref="A85:A116" si="6">"C"&amp;TEXT(ROW()-1,"000")</f>
        <v>C084</v>
      </c>
      <c r="B85" s="9" t="s">
        <v>109</v>
      </c>
      <c r="C85" s="9" t="s">
        <v>10</v>
      </c>
      <c r="D85" s="9" t="s">
        <v>240</v>
      </c>
      <c r="E85" s="9">
        <f t="shared" ca="1" si="5"/>
        <v>9</v>
      </c>
      <c r="F85" s="9" t="s">
        <v>13</v>
      </c>
      <c r="G85" s="9" t="s">
        <v>19</v>
      </c>
      <c r="H85" s="13">
        <v>46108</v>
      </c>
      <c r="I85" s="13">
        <v>46111</v>
      </c>
      <c r="J85" s="13" t="s">
        <v>236</v>
      </c>
      <c r="K85" s="13" t="s">
        <v>236</v>
      </c>
      <c r="L85" s="9" t="s">
        <v>223</v>
      </c>
      <c r="M85" s="14">
        <v>930296</v>
      </c>
      <c r="N85" s="14">
        <v>0</v>
      </c>
      <c r="O85" s="14" t="s">
        <v>234</v>
      </c>
      <c r="P85" s="9">
        <v>0</v>
      </c>
      <c r="Q85" s="9">
        <v>0</v>
      </c>
      <c r="R85" s="15" t="s">
        <v>230</v>
      </c>
    </row>
    <row r="86" spans="1:18" x14ac:dyDescent="0.35">
      <c r="A86" s="12" t="str">
        <f t="shared" si="6"/>
        <v>C085</v>
      </c>
      <c r="B86" s="9" t="s">
        <v>110</v>
      </c>
      <c r="C86" s="9" t="s">
        <v>10</v>
      </c>
      <c r="D86" s="9" t="s">
        <v>238</v>
      </c>
      <c r="E86" s="9">
        <f t="shared" ca="1" si="5"/>
        <v>6</v>
      </c>
      <c r="F86" s="9" t="s">
        <v>14</v>
      </c>
      <c r="G86" s="9" t="s">
        <v>17</v>
      </c>
      <c r="H86" s="13">
        <v>46109</v>
      </c>
      <c r="I86" s="13">
        <v>46110</v>
      </c>
      <c r="J86" s="13">
        <v>46113</v>
      </c>
      <c r="K86" s="13">
        <v>46116</v>
      </c>
      <c r="L86" s="9" t="s">
        <v>21</v>
      </c>
      <c r="M86" s="14">
        <v>317755</v>
      </c>
      <c r="N86" s="14">
        <v>289157</v>
      </c>
      <c r="O86" s="14" t="s">
        <v>22</v>
      </c>
      <c r="P86" s="9">
        <v>0</v>
      </c>
      <c r="Q86" s="9">
        <v>-28598</v>
      </c>
      <c r="R86" s="15" t="s">
        <v>231</v>
      </c>
    </row>
    <row r="87" spans="1:18" x14ac:dyDescent="0.35">
      <c r="A87" s="12" t="str">
        <f t="shared" si="6"/>
        <v>C086</v>
      </c>
      <c r="B87" s="9" t="s">
        <v>111</v>
      </c>
      <c r="C87" s="9" t="s">
        <v>10</v>
      </c>
      <c r="D87" s="9" t="s">
        <v>241</v>
      </c>
      <c r="E87" s="9">
        <f t="shared" ca="1" si="5"/>
        <v>11</v>
      </c>
      <c r="F87" s="9" t="s">
        <v>15</v>
      </c>
      <c r="G87" s="9" t="s">
        <v>19</v>
      </c>
      <c r="H87" s="13">
        <v>46110</v>
      </c>
      <c r="I87" s="13">
        <v>46113</v>
      </c>
      <c r="J87" s="13">
        <v>46118</v>
      </c>
      <c r="K87" s="13">
        <v>46119</v>
      </c>
      <c r="L87" s="9" t="s">
        <v>20</v>
      </c>
      <c r="M87" s="14">
        <v>407687</v>
      </c>
      <c r="N87" s="14">
        <v>407687</v>
      </c>
      <c r="O87" s="14" t="s">
        <v>236</v>
      </c>
      <c r="P87" s="9">
        <v>25</v>
      </c>
      <c r="Q87" s="9">
        <v>0</v>
      </c>
      <c r="R87" s="15" t="s">
        <v>229</v>
      </c>
    </row>
    <row r="88" spans="1:18" x14ac:dyDescent="0.35">
      <c r="A88" s="12" t="str">
        <f t="shared" si="6"/>
        <v>C087</v>
      </c>
      <c r="B88" s="9" t="s">
        <v>112</v>
      </c>
      <c r="C88" s="9" t="s">
        <v>10</v>
      </c>
      <c r="D88" s="9" t="s">
        <v>242</v>
      </c>
      <c r="E88" s="9">
        <f t="shared" ca="1" si="5"/>
        <v>12</v>
      </c>
      <c r="F88" s="9" t="s">
        <v>12</v>
      </c>
      <c r="G88" s="9" t="s">
        <v>17</v>
      </c>
      <c r="H88" s="13">
        <v>46111</v>
      </c>
      <c r="I88" s="13">
        <v>46113</v>
      </c>
      <c r="J88" s="13">
        <v>46117</v>
      </c>
      <c r="K88" s="13">
        <v>46120</v>
      </c>
      <c r="L88" s="9" t="s">
        <v>21</v>
      </c>
      <c r="M88" s="14">
        <v>593141</v>
      </c>
      <c r="N88" s="14">
        <v>539758</v>
      </c>
      <c r="O88" s="14" t="s">
        <v>22</v>
      </c>
      <c r="P88" s="9">
        <v>0</v>
      </c>
      <c r="Q88" s="9">
        <v>-53383</v>
      </c>
      <c r="R88" s="15" t="s">
        <v>231</v>
      </c>
    </row>
    <row r="89" spans="1:18" x14ac:dyDescent="0.35">
      <c r="A89" s="12" t="str">
        <f t="shared" si="6"/>
        <v>C088</v>
      </c>
      <c r="B89" s="9" t="s">
        <v>113</v>
      </c>
      <c r="C89" s="9" t="s">
        <v>10</v>
      </c>
      <c r="D89" s="9" t="s">
        <v>242</v>
      </c>
      <c r="E89" s="9">
        <f t="shared" ca="1" si="5"/>
        <v>7</v>
      </c>
      <c r="F89" s="9" t="s">
        <v>13</v>
      </c>
      <c r="G89" s="9" t="s">
        <v>19</v>
      </c>
      <c r="H89" s="13">
        <v>46112</v>
      </c>
      <c r="I89" s="13">
        <v>46113</v>
      </c>
      <c r="J89" s="13" t="s">
        <v>236</v>
      </c>
      <c r="K89" s="13" t="s">
        <v>236</v>
      </c>
      <c r="L89" s="9" t="s">
        <v>223</v>
      </c>
      <c r="M89" s="14">
        <v>945584</v>
      </c>
      <c r="N89" s="14">
        <v>0</v>
      </c>
      <c r="O89" s="14" t="s">
        <v>234</v>
      </c>
      <c r="P89" s="9">
        <v>0</v>
      </c>
      <c r="Q89" s="9">
        <v>0</v>
      </c>
      <c r="R89" s="15" t="s">
        <v>230</v>
      </c>
    </row>
    <row r="90" spans="1:18" x14ac:dyDescent="0.35">
      <c r="A90" s="12" t="str">
        <f t="shared" si="6"/>
        <v>C089</v>
      </c>
      <c r="B90" s="9" t="s">
        <v>114</v>
      </c>
      <c r="C90" s="9" t="s">
        <v>11</v>
      </c>
      <c r="D90" s="9" t="s">
        <v>241</v>
      </c>
      <c r="E90" s="9">
        <f t="shared" ca="1" si="5"/>
        <v>7</v>
      </c>
      <c r="F90" s="9" t="s">
        <v>13</v>
      </c>
      <c r="G90" s="9" t="s">
        <v>16</v>
      </c>
      <c r="H90" s="13">
        <v>46113</v>
      </c>
      <c r="I90" s="13">
        <v>46115</v>
      </c>
      <c r="J90" s="13">
        <v>46120</v>
      </c>
      <c r="K90" s="13">
        <v>46123</v>
      </c>
      <c r="L90" s="9" t="s">
        <v>20</v>
      </c>
      <c r="M90" s="14">
        <v>1120096</v>
      </c>
      <c r="N90" s="14">
        <v>1008086</v>
      </c>
      <c r="O90" s="14" t="s">
        <v>236</v>
      </c>
      <c r="P90" s="9">
        <v>30</v>
      </c>
      <c r="Q90" s="9">
        <v>-112010</v>
      </c>
      <c r="R90" s="15" t="s">
        <v>229</v>
      </c>
    </row>
    <row r="91" spans="1:18" x14ac:dyDescent="0.35">
      <c r="A91" s="12" t="str">
        <f t="shared" si="6"/>
        <v>C090</v>
      </c>
      <c r="B91" s="9" t="s">
        <v>115</v>
      </c>
      <c r="C91" s="9" t="s">
        <v>11</v>
      </c>
      <c r="D91" s="9" t="s">
        <v>239</v>
      </c>
      <c r="E91" s="9">
        <f t="shared" ca="1" si="5"/>
        <v>10</v>
      </c>
      <c r="F91" s="9" t="s">
        <v>12</v>
      </c>
      <c r="G91" s="9" t="s">
        <v>17</v>
      </c>
      <c r="H91" s="13">
        <v>46114</v>
      </c>
      <c r="I91" s="13">
        <v>46116</v>
      </c>
      <c r="J91" s="13" t="s">
        <v>236</v>
      </c>
      <c r="K91" s="13" t="s">
        <v>236</v>
      </c>
      <c r="L91" s="9" t="s">
        <v>223</v>
      </c>
      <c r="M91" s="14">
        <v>394875</v>
      </c>
      <c r="N91" s="14">
        <v>0</v>
      </c>
      <c r="O91" s="14" t="s">
        <v>234</v>
      </c>
      <c r="P91" s="9">
        <v>0</v>
      </c>
      <c r="Q91" s="9">
        <v>0</v>
      </c>
      <c r="R91" s="15" t="s">
        <v>230</v>
      </c>
    </row>
    <row r="92" spans="1:18" x14ac:dyDescent="0.35">
      <c r="A92" s="12" t="str">
        <f t="shared" si="6"/>
        <v>C091</v>
      </c>
      <c r="B92" s="9" t="s">
        <v>116</v>
      </c>
      <c r="C92" s="9" t="s">
        <v>11</v>
      </c>
      <c r="D92" s="9" t="s">
        <v>240</v>
      </c>
      <c r="E92" s="9">
        <f t="shared" ca="1" si="5"/>
        <v>11</v>
      </c>
      <c r="F92" s="9" t="s">
        <v>13</v>
      </c>
      <c r="G92" s="9" t="s">
        <v>16</v>
      </c>
      <c r="H92" s="13">
        <v>46115</v>
      </c>
      <c r="I92" s="13">
        <v>46117</v>
      </c>
      <c r="J92" s="13" t="s">
        <v>236</v>
      </c>
      <c r="K92" s="13" t="s">
        <v>236</v>
      </c>
      <c r="L92" s="9" t="s">
        <v>223</v>
      </c>
      <c r="M92" s="14">
        <v>911411</v>
      </c>
      <c r="N92" s="14">
        <v>0</v>
      </c>
      <c r="O92" s="14" t="s">
        <v>234</v>
      </c>
      <c r="P92" s="9">
        <v>0</v>
      </c>
      <c r="Q92" s="9">
        <v>0</v>
      </c>
      <c r="R92" s="15" t="s">
        <v>230</v>
      </c>
    </row>
    <row r="93" spans="1:18" x14ac:dyDescent="0.35">
      <c r="A93" s="12" t="str">
        <f t="shared" si="6"/>
        <v>C092</v>
      </c>
      <c r="B93" s="9" t="s">
        <v>117</v>
      </c>
      <c r="C93" s="9" t="s">
        <v>11</v>
      </c>
      <c r="D93" s="9" t="s">
        <v>240</v>
      </c>
      <c r="E93" s="9">
        <f t="shared" ca="1" si="5"/>
        <v>0</v>
      </c>
      <c r="F93" s="9" t="s">
        <v>13</v>
      </c>
      <c r="G93" s="9" t="s">
        <v>16</v>
      </c>
      <c r="H93" s="13">
        <v>46116</v>
      </c>
      <c r="I93" s="13">
        <v>46117</v>
      </c>
      <c r="J93" s="13">
        <v>46122</v>
      </c>
      <c r="K93" s="13">
        <v>46123</v>
      </c>
      <c r="L93" s="9" t="s">
        <v>21</v>
      </c>
      <c r="M93" s="14">
        <v>542965</v>
      </c>
      <c r="N93" s="14">
        <v>521246</v>
      </c>
      <c r="O93" s="14" t="s">
        <v>22</v>
      </c>
      <c r="P93" s="9">
        <v>0</v>
      </c>
      <c r="Q93" s="9">
        <v>-21719</v>
      </c>
      <c r="R93" s="15" t="s">
        <v>231</v>
      </c>
    </row>
    <row r="94" spans="1:18" x14ac:dyDescent="0.35">
      <c r="A94" s="12" t="str">
        <f t="shared" si="6"/>
        <v>C093</v>
      </c>
      <c r="B94" s="9" t="s">
        <v>118</v>
      </c>
      <c r="C94" s="9" t="s">
        <v>11</v>
      </c>
      <c r="D94" s="9" t="s">
        <v>240</v>
      </c>
      <c r="E94" s="9">
        <f t="shared" ca="1" si="5"/>
        <v>9</v>
      </c>
      <c r="F94" s="9" t="s">
        <v>14</v>
      </c>
      <c r="G94" s="9" t="s">
        <v>18</v>
      </c>
      <c r="H94" s="13">
        <v>46117</v>
      </c>
      <c r="I94" s="13">
        <v>46118</v>
      </c>
      <c r="J94" s="13" t="s">
        <v>236</v>
      </c>
      <c r="K94" s="13" t="s">
        <v>236</v>
      </c>
      <c r="L94" s="9" t="s">
        <v>223</v>
      </c>
      <c r="M94" s="14">
        <v>359368</v>
      </c>
      <c r="N94" s="14">
        <v>0</v>
      </c>
      <c r="O94" s="14" t="s">
        <v>234</v>
      </c>
      <c r="P94" s="9">
        <v>0</v>
      </c>
      <c r="Q94" s="9">
        <v>0</v>
      </c>
      <c r="R94" s="15" t="s">
        <v>230</v>
      </c>
    </row>
    <row r="95" spans="1:18" x14ac:dyDescent="0.35">
      <c r="A95" s="12" t="str">
        <f t="shared" si="6"/>
        <v>C094</v>
      </c>
      <c r="B95" s="9" t="s">
        <v>119</v>
      </c>
      <c r="C95" s="9" t="s">
        <v>10</v>
      </c>
      <c r="D95" s="9" t="s">
        <v>242</v>
      </c>
      <c r="E95" s="9">
        <f t="shared" ca="1" si="5"/>
        <v>8</v>
      </c>
      <c r="F95" s="9" t="s">
        <v>14</v>
      </c>
      <c r="G95" s="9" t="s">
        <v>19</v>
      </c>
      <c r="H95" s="13">
        <v>46118</v>
      </c>
      <c r="I95" s="13">
        <v>46120</v>
      </c>
      <c r="J95" s="13">
        <v>46124</v>
      </c>
      <c r="K95" s="13">
        <v>46125</v>
      </c>
      <c r="L95" s="9" t="s">
        <v>20</v>
      </c>
      <c r="M95" s="14">
        <v>388109</v>
      </c>
      <c r="N95" s="14">
        <v>384228</v>
      </c>
      <c r="O95" s="14" t="s">
        <v>236</v>
      </c>
      <c r="P95" s="9">
        <v>14</v>
      </c>
      <c r="Q95" s="9">
        <v>-3881</v>
      </c>
      <c r="R95" s="15" t="s">
        <v>229</v>
      </c>
    </row>
    <row r="96" spans="1:18" x14ac:dyDescent="0.35">
      <c r="A96" s="12" t="str">
        <f t="shared" si="6"/>
        <v>C095</v>
      </c>
      <c r="B96" s="9" t="s">
        <v>120</v>
      </c>
      <c r="C96" s="9" t="s">
        <v>10</v>
      </c>
      <c r="D96" s="9" t="s">
        <v>241</v>
      </c>
      <c r="E96" s="9">
        <f t="shared" ca="1" si="5"/>
        <v>9</v>
      </c>
      <c r="F96" s="9" t="s">
        <v>14</v>
      </c>
      <c r="G96" s="9" t="s">
        <v>17</v>
      </c>
      <c r="H96" s="13">
        <v>46119</v>
      </c>
      <c r="I96" s="13">
        <v>46122</v>
      </c>
      <c r="J96" s="13">
        <v>46126</v>
      </c>
      <c r="K96" s="13" t="s">
        <v>236</v>
      </c>
      <c r="L96" s="9" t="s">
        <v>224</v>
      </c>
      <c r="M96" s="14">
        <v>530382</v>
      </c>
      <c r="N96" s="14">
        <v>0</v>
      </c>
      <c r="O96" s="14" t="s">
        <v>235</v>
      </c>
      <c r="P96" s="9">
        <v>0</v>
      </c>
      <c r="Q96" s="9">
        <v>0</v>
      </c>
      <c r="R96" s="15" t="s">
        <v>232</v>
      </c>
    </row>
    <row r="97" spans="1:18" x14ac:dyDescent="0.35">
      <c r="A97" s="12" t="str">
        <f t="shared" si="6"/>
        <v>C096</v>
      </c>
      <c r="B97" s="9" t="s">
        <v>121</v>
      </c>
      <c r="C97" s="9" t="s">
        <v>11</v>
      </c>
      <c r="D97" s="9" t="s">
        <v>242</v>
      </c>
      <c r="E97" s="9">
        <f t="shared" ca="1" si="5"/>
        <v>11</v>
      </c>
      <c r="F97" s="9" t="s">
        <v>13</v>
      </c>
      <c r="G97" s="9" t="s">
        <v>18</v>
      </c>
      <c r="H97" s="13">
        <v>46120</v>
      </c>
      <c r="I97" s="13">
        <v>46123</v>
      </c>
      <c r="J97" s="13" t="s">
        <v>236</v>
      </c>
      <c r="K97" s="13" t="s">
        <v>236</v>
      </c>
      <c r="L97" s="9" t="s">
        <v>223</v>
      </c>
      <c r="M97" s="14">
        <v>776175</v>
      </c>
      <c r="N97" s="14">
        <v>0</v>
      </c>
      <c r="O97" s="14" t="s">
        <v>234</v>
      </c>
      <c r="P97" s="9">
        <v>0</v>
      </c>
      <c r="Q97" s="9">
        <v>0</v>
      </c>
      <c r="R97" s="15" t="s">
        <v>230</v>
      </c>
    </row>
    <row r="98" spans="1:18" x14ac:dyDescent="0.35">
      <c r="A98" s="12" t="str">
        <f t="shared" si="6"/>
        <v>C097</v>
      </c>
      <c r="B98" s="9" t="s">
        <v>122</v>
      </c>
      <c r="C98" s="9" t="s">
        <v>11</v>
      </c>
      <c r="D98" s="9" t="s">
        <v>242</v>
      </c>
      <c r="E98" s="9">
        <f t="shared" ca="1" si="5"/>
        <v>3</v>
      </c>
      <c r="F98" s="9" t="s">
        <v>13</v>
      </c>
      <c r="G98" s="9" t="s">
        <v>18</v>
      </c>
      <c r="H98" s="13">
        <v>46121</v>
      </c>
      <c r="I98" s="13">
        <v>46124</v>
      </c>
      <c r="J98" s="13">
        <v>46128</v>
      </c>
      <c r="K98" s="13">
        <v>46130</v>
      </c>
      <c r="L98" s="9" t="s">
        <v>21</v>
      </c>
      <c r="M98" s="14">
        <v>820726</v>
      </c>
      <c r="N98" s="14">
        <v>755068</v>
      </c>
      <c r="O98" s="14" t="s">
        <v>22</v>
      </c>
      <c r="P98" s="9">
        <v>0</v>
      </c>
      <c r="Q98" s="9">
        <v>-65658</v>
      </c>
      <c r="R98" s="15" t="s">
        <v>231</v>
      </c>
    </row>
    <row r="99" spans="1:18" x14ac:dyDescent="0.35">
      <c r="A99" s="12" t="str">
        <f t="shared" si="6"/>
        <v>C098</v>
      </c>
      <c r="B99" s="9" t="s">
        <v>123</v>
      </c>
      <c r="C99" s="9" t="s">
        <v>10</v>
      </c>
      <c r="D99" s="9" t="s">
        <v>238</v>
      </c>
      <c r="E99" s="9">
        <f t="shared" ca="1" si="5"/>
        <v>0</v>
      </c>
      <c r="F99" s="9" t="s">
        <v>13</v>
      </c>
      <c r="G99" s="9" t="s">
        <v>18</v>
      </c>
      <c r="H99" s="13">
        <v>46122</v>
      </c>
      <c r="I99" s="13">
        <v>46125</v>
      </c>
      <c r="J99" s="13">
        <v>46130</v>
      </c>
      <c r="K99" s="13">
        <v>46132</v>
      </c>
      <c r="L99" s="9" t="s">
        <v>21</v>
      </c>
      <c r="M99" s="14">
        <v>429996</v>
      </c>
      <c r="N99" s="14">
        <v>417096</v>
      </c>
      <c r="O99" s="14" t="s">
        <v>22</v>
      </c>
      <c r="P99" s="9">
        <v>0</v>
      </c>
      <c r="Q99" s="9">
        <v>-12900</v>
      </c>
      <c r="R99" s="15" t="s">
        <v>231</v>
      </c>
    </row>
    <row r="100" spans="1:18" x14ac:dyDescent="0.35">
      <c r="A100" s="12" t="str">
        <f t="shared" si="6"/>
        <v>C099</v>
      </c>
      <c r="B100" s="9" t="s">
        <v>124</v>
      </c>
      <c r="C100" s="9" t="s">
        <v>10</v>
      </c>
      <c r="D100" s="9" t="s">
        <v>242</v>
      </c>
      <c r="E100" s="9">
        <f t="shared" ca="1" si="5"/>
        <v>5</v>
      </c>
      <c r="F100" s="9" t="s">
        <v>14</v>
      </c>
      <c r="G100" s="9" t="s">
        <v>17</v>
      </c>
      <c r="H100" s="13">
        <v>46123</v>
      </c>
      <c r="I100" s="13">
        <v>46126</v>
      </c>
      <c r="J100" s="13">
        <v>46128</v>
      </c>
      <c r="K100" s="13">
        <v>46131</v>
      </c>
      <c r="L100" s="9" t="s">
        <v>20</v>
      </c>
      <c r="M100" s="14">
        <v>417930</v>
      </c>
      <c r="N100" s="14">
        <v>388675</v>
      </c>
      <c r="O100" s="14" t="s">
        <v>236</v>
      </c>
      <c r="P100" s="9">
        <v>23</v>
      </c>
      <c r="Q100" s="9">
        <v>-29255</v>
      </c>
      <c r="R100" s="15" t="s">
        <v>229</v>
      </c>
    </row>
    <row r="101" spans="1:18" x14ac:dyDescent="0.35">
      <c r="A101" s="12" t="str">
        <f t="shared" si="6"/>
        <v>C100</v>
      </c>
      <c r="B101" s="9" t="s">
        <v>125</v>
      </c>
      <c r="C101" s="9" t="s">
        <v>11</v>
      </c>
      <c r="D101" s="9" t="s">
        <v>238</v>
      </c>
      <c r="E101" s="9">
        <f t="shared" ca="1" si="5"/>
        <v>9</v>
      </c>
      <c r="F101" s="9" t="s">
        <v>12</v>
      </c>
      <c r="G101" s="9" t="s">
        <v>18</v>
      </c>
      <c r="H101" s="13">
        <v>46124</v>
      </c>
      <c r="I101" s="13">
        <v>46126</v>
      </c>
      <c r="J101" s="13">
        <v>46129</v>
      </c>
      <c r="K101" s="13" t="s">
        <v>236</v>
      </c>
      <c r="L101" s="9" t="s">
        <v>224</v>
      </c>
      <c r="M101" s="14">
        <v>480956</v>
      </c>
      <c r="N101" s="14">
        <v>0</v>
      </c>
      <c r="O101" s="14" t="s">
        <v>235</v>
      </c>
      <c r="P101" s="9">
        <v>0</v>
      </c>
      <c r="Q101" s="9">
        <v>0</v>
      </c>
      <c r="R101" s="15" t="s">
        <v>232</v>
      </c>
    </row>
    <row r="102" spans="1:18" x14ac:dyDescent="0.35">
      <c r="A102" s="12" t="str">
        <f t="shared" si="6"/>
        <v>C101</v>
      </c>
      <c r="B102" s="9" t="s">
        <v>126</v>
      </c>
      <c r="C102" s="9" t="s">
        <v>10</v>
      </c>
      <c r="D102" s="9" t="s">
        <v>239</v>
      </c>
      <c r="E102" s="9">
        <f t="shared" ca="1" si="5"/>
        <v>7</v>
      </c>
      <c r="F102" s="9" t="s">
        <v>12</v>
      </c>
      <c r="G102" s="9" t="s">
        <v>18</v>
      </c>
      <c r="H102" s="13">
        <v>46125</v>
      </c>
      <c r="I102" s="13">
        <v>46126</v>
      </c>
      <c r="J102" s="13">
        <v>46130</v>
      </c>
      <c r="K102" s="13" t="s">
        <v>236</v>
      </c>
      <c r="L102" s="9" t="s">
        <v>224</v>
      </c>
      <c r="M102" s="14">
        <v>393925</v>
      </c>
      <c r="N102" s="14">
        <v>0</v>
      </c>
      <c r="O102" s="14" t="s">
        <v>235</v>
      </c>
      <c r="P102" s="9">
        <v>0</v>
      </c>
      <c r="Q102" s="9">
        <v>0</v>
      </c>
      <c r="R102" s="15" t="s">
        <v>232</v>
      </c>
    </row>
    <row r="103" spans="1:18" x14ac:dyDescent="0.35">
      <c r="A103" s="12" t="str">
        <f t="shared" si="6"/>
        <v>C102</v>
      </c>
      <c r="B103" s="9" t="s">
        <v>127</v>
      </c>
      <c r="C103" s="9" t="s">
        <v>11</v>
      </c>
      <c r="D103" s="9" t="s">
        <v>239</v>
      </c>
      <c r="E103" s="9">
        <f t="shared" ca="1" si="5"/>
        <v>10</v>
      </c>
      <c r="F103" s="9" t="s">
        <v>12</v>
      </c>
      <c r="G103" s="9" t="s">
        <v>19</v>
      </c>
      <c r="H103" s="13">
        <v>46126</v>
      </c>
      <c r="I103" s="13">
        <v>46129</v>
      </c>
      <c r="J103" s="13">
        <v>46132</v>
      </c>
      <c r="K103" s="13">
        <v>46134</v>
      </c>
      <c r="L103" s="9" t="s">
        <v>20</v>
      </c>
      <c r="M103" s="14">
        <v>539528</v>
      </c>
      <c r="N103" s="14">
        <v>501761</v>
      </c>
      <c r="O103" s="14" t="s">
        <v>236</v>
      </c>
      <c r="P103" s="9">
        <v>16</v>
      </c>
      <c r="Q103" s="9">
        <v>-37767</v>
      </c>
      <c r="R103" s="15" t="s">
        <v>229</v>
      </c>
    </row>
    <row r="104" spans="1:18" x14ac:dyDescent="0.35">
      <c r="A104" s="12" t="str">
        <f t="shared" si="6"/>
        <v>C103</v>
      </c>
      <c r="B104" s="9" t="s">
        <v>128</v>
      </c>
      <c r="C104" s="9" t="s">
        <v>10</v>
      </c>
      <c r="D104" s="9" t="s">
        <v>238</v>
      </c>
      <c r="E104" s="9">
        <f t="shared" ca="1" si="5"/>
        <v>11</v>
      </c>
      <c r="F104" s="9" t="s">
        <v>14</v>
      </c>
      <c r="G104" s="9" t="s">
        <v>19</v>
      </c>
      <c r="H104" s="13">
        <v>46127</v>
      </c>
      <c r="I104" s="13">
        <v>46130</v>
      </c>
      <c r="J104" s="13" t="s">
        <v>236</v>
      </c>
      <c r="K104" s="13" t="s">
        <v>236</v>
      </c>
      <c r="L104" s="9" t="s">
        <v>223</v>
      </c>
      <c r="M104" s="14">
        <v>357686</v>
      </c>
      <c r="N104" s="14">
        <v>0</v>
      </c>
      <c r="O104" s="14" t="s">
        <v>234</v>
      </c>
      <c r="P104" s="9">
        <v>0</v>
      </c>
      <c r="Q104" s="9">
        <v>0</v>
      </c>
      <c r="R104" s="15" t="s">
        <v>230</v>
      </c>
    </row>
    <row r="105" spans="1:18" x14ac:dyDescent="0.35">
      <c r="A105" s="12" t="str">
        <f t="shared" si="6"/>
        <v>C104</v>
      </c>
      <c r="B105" s="9" t="s">
        <v>129</v>
      </c>
      <c r="C105" s="9" t="s">
        <v>11</v>
      </c>
      <c r="D105" s="9" t="s">
        <v>238</v>
      </c>
      <c r="E105" s="9">
        <f t="shared" ca="1" si="5"/>
        <v>0</v>
      </c>
      <c r="F105" s="9" t="s">
        <v>13</v>
      </c>
      <c r="G105" s="9" t="s">
        <v>18</v>
      </c>
      <c r="H105" s="13">
        <v>46128</v>
      </c>
      <c r="I105" s="13">
        <v>46131</v>
      </c>
      <c r="J105" s="13">
        <v>46133</v>
      </c>
      <c r="K105" s="13">
        <v>46135</v>
      </c>
      <c r="L105" s="9" t="s">
        <v>21</v>
      </c>
      <c r="M105" s="14">
        <v>645917</v>
      </c>
      <c r="N105" s="14">
        <v>587784</v>
      </c>
      <c r="O105" s="14" t="s">
        <v>22</v>
      </c>
      <c r="P105" s="9">
        <v>0</v>
      </c>
      <c r="Q105" s="9">
        <v>-58133</v>
      </c>
      <c r="R105" s="15" t="s">
        <v>231</v>
      </c>
    </row>
    <row r="106" spans="1:18" x14ac:dyDescent="0.35">
      <c r="A106" s="12" t="str">
        <f t="shared" si="6"/>
        <v>C105</v>
      </c>
      <c r="B106" s="9" t="s">
        <v>130</v>
      </c>
      <c r="C106" s="9" t="s">
        <v>11</v>
      </c>
      <c r="D106" s="9" t="s">
        <v>238</v>
      </c>
      <c r="E106" s="9">
        <f t="shared" ca="1" si="5"/>
        <v>2</v>
      </c>
      <c r="F106" s="9" t="s">
        <v>13</v>
      </c>
      <c r="G106" s="9" t="s">
        <v>19</v>
      </c>
      <c r="H106" s="13">
        <v>46129</v>
      </c>
      <c r="I106" s="13">
        <v>46132</v>
      </c>
      <c r="J106" s="13">
        <v>46137</v>
      </c>
      <c r="K106" s="13" t="s">
        <v>236</v>
      </c>
      <c r="L106" s="9" t="s">
        <v>224</v>
      </c>
      <c r="M106" s="14">
        <v>740989</v>
      </c>
      <c r="N106" s="14">
        <v>0</v>
      </c>
      <c r="O106" s="14" t="s">
        <v>235</v>
      </c>
      <c r="P106" s="9">
        <v>0</v>
      </c>
      <c r="Q106" s="9">
        <v>0</v>
      </c>
      <c r="R106" s="15" t="s">
        <v>232</v>
      </c>
    </row>
    <row r="107" spans="1:18" x14ac:dyDescent="0.35">
      <c r="A107" s="12" t="str">
        <f t="shared" si="6"/>
        <v>C106</v>
      </c>
      <c r="B107" s="9" t="s">
        <v>131</v>
      </c>
      <c r="C107" s="9" t="s">
        <v>11</v>
      </c>
      <c r="D107" s="9" t="s">
        <v>241</v>
      </c>
      <c r="E107" s="9">
        <f t="shared" ca="1" si="5"/>
        <v>9</v>
      </c>
      <c r="F107" s="9" t="s">
        <v>12</v>
      </c>
      <c r="G107" s="9" t="s">
        <v>18</v>
      </c>
      <c r="H107" s="13">
        <v>46130</v>
      </c>
      <c r="I107" s="13">
        <v>46131</v>
      </c>
      <c r="J107" s="13" t="s">
        <v>236</v>
      </c>
      <c r="K107" s="13" t="s">
        <v>236</v>
      </c>
      <c r="L107" s="9" t="s">
        <v>223</v>
      </c>
      <c r="M107" s="14">
        <v>579145</v>
      </c>
      <c r="N107" s="14">
        <v>0</v>
      </c>
      <c r="O107" s="14" t="s">
        <v>234</v>
      </c>
      <c r="P107" s="9">
        <v>0</v>
      </c>
      <c r="Q107" s="9">
        <v>0</v>
      </c>
      <c r="R107" s="15" t="s">
        <v>230</v>
      </c>
    </row>
    <row r="108" spans="1:18" x14ac:dyDescent="0.35">
      <c r="A108" s="12" t="str">
        <f t="shared" si="6"/>
        <v>C107</v>
      </c>
      <c r="B108" s="9" t="s">
        <v>132</v>
      </c>
      <c r="C108" s="9" t="s">
        <v>10</v>
      </c>
      <c r="D108" s="9" t="s">
        <v>242</v>
      </c>
      <c r="E108" s="9">
        <f t="shared" ca="1" si="5"/>
        <v>7</v>
      </c>
      <c r="F108" s="9" t="s">
        <v>13</v>
      </c>
      <c r="G108" s="9" t="s">
        <v>19</v>
      </c>
      <c r="H108" s="13">
        <v>46131</v>
      </c>
      <c r="I108" s="13">
        <v>46133</v>
      </c>
      <c r="J108" s="13">
        <v>46138</v>
      </c>
      <c r="K108" s="13">
        <v>46140</v>
      </c>
      <c r="L108" s="9" t="s">
        <v>20</v>
      </c>
      <c r="M108" s="14">
        <v>681345</v>
      </c>
      <c r="N108" s="14">
        <v>633651</v>
      </c>
      <c r="O108" s="14" t="s">
        <v>236</v>
      </c>
      <c r="P108" s="9">
        <v>21</v>
      </c>
      <c r="Q108" s="9">
        <v>-47694</v>
      </c>
      <c r="R108" s="15" t="s">
        <v>229</v>
      </c>
    </row>
    <row r="109" spans="1:18" x14ac:dyDescent="0.35">
      <c r="A109" s="12" t="str">
        <f t="shared" si="6"/>
        <v>C108</v>
      </c>
      <c r="B109" s="9" t="s">
        <v>133</v>
      </c>
      <c r="C109" s="9" t="s">
        <v>10</v>
      </c>
      <c r="D109" s="9" t="s">
        <v>238</v>
      </c>
      <c r="E109" s="9">
        <f t="shared" ca="1" si="5"/>
        <v>11</v>
      </c>
      <c r="F109" s="9" t="s">
        <v>12</v>
      </c>
      <c r="G109" s="9" t="s">
        <v>19</v>
      </c>
      <c r="H109" s="13">
        <v>46132</v>
      </c>
      <c r="I109" s="13">
        <v>46135</v>
      </c>
      <c r="J109" s="13">
        <v>46139</v>
      </c>
      <c r="K109" s="13">
        <v>46141</v>
      </c>
      <c r="L109" s="9" t="s">
        <v>21</v>
      </c>
      <c r="M109" s="14">
        <v>399210</v>
      </c>
      <c r="N109" s="14">
        <v>395218</v>
      </c>
      <c r="O109" s="14" t="s">
        <v>22</v>
      </c>
      <c r="P109" s="9">
        <v>0</v>
      </c>
      <c r="Q109" s="9">
        <v>-3992</v>
      </c>
      <c r="R109" s="15" t="s">
        <v>231</v>
      </c>
    </row>
    <row r="110" spans="1:18" x14ac:dyDescent="0.35">
      <c r="A110" s="12" t="str">
        <f t="shared" si="6"/>
        <v>C109</v>
      </c>
      <c r="B110" s="9" t="s">
        <v>134</v>
      </c>
      <c r="C110" s="9" t="s">
        <v>11</v>
      </c>
      <c r="D110" s="9" t="s">
        <v>241</v>
      </c>
      <c r="E110" s="9">
        <f t="shared" ca="1" si="5"/>
        <v>5</v>
      </c>
      <c r="F110" s="9" t="s">
        <v>14</v>
      </c>
      <c r="G110" s="9" t="s">
        <v>16</v>
      </c>
      <c r="H110" s="13">
        <v>46133</v>
      </c>
      <c r="I110" s="13">
        <v>46135</v>
      </c>
      <c r="J110" s="13">
        <v>46138</v>
      </c>
      <c r="K110" s="13" t="s">
        <v>236</v>
      </c>
      <c r="L110" s="9" t="s">
        <v>224</v>
      </c>
      <c r="M110" s="14">
        <v>422960</v>
      </c>
      <c r="N110" s="14">
        <v>0</v>
      </c>
      <c r="O110" s="14" t="s">
        <v>235</v>
      </c>
      <c r="P110" s="9">
        <v>0</v>
      </c>
      <c r="Q110" s="9">
        <v>0</v>
      </c>
      <c r="R110" s="15" t="s">
        <v>232</v>
      </c>
    </row>
    <row r="111" spans="1:18" x14ac:dyDescent="0.35">
      <c r="A111" s="12" t="str">
        <f t="shared" si="6"/>
        <v>C110</v>
      </c>
      <c r="B111" s="9" t="s">
        <v>135</v>
      </c>
      <c r="C111" s="9" t="s">
        <v>11</v>
      </c>
      <c r="D111" s="9" t="s">
        <v>241</v>
      </c>
      <c r="E111" s="9">
        <f t="shared" ca="1" si="5"/>
        <v>12</v>
      </c>
      <c r="F111" s="9" t="s">
        <v>13</v>
      </c>
      <c r="G111" s="9" t="s">
        <v>18</v>
      </c>
      <c r="H111" s="13">
        <v>46134</v>
      </c>
      <c r="I111" s="13">
        <v>46137</v>
      </c>
      <c r="J111" s="13">
        <v>46139</v>
      </c>
      <c r="K111" s="13">
        <v>46141</v>
      </c>
      <c r="L111" s="9" t="s">
        <v>20</v>
      </c>
      <c r="M111" s="14">
        <v>1161186</v>
      </c>
      <c r="N111" s="14">
        <v>1103127</v>
      </c>
      <c r="O111" s="14" t="s">
        <v>236</v>
      </c>
      <c r="P111" s="9">
        <v>18</v>
      </c>
      <c r="Q111" s="9">
        <v>-58059</v>
      </c>
      <c r="R111" s="15" t="s">
        <v>229</v>
      </c>
    </row>
    <row r="112" spans="1:18" x14ac:dyDescent="0.35">
      <c r="A112" s="12" t="str">
        <f t="shared" si="6"/>
        <v>C111</v>
      </c>
      <c r="B112" s="9" t="s">
        <v>136</v>
      </c>
      <c r="C112" s="9" t="s">
        <v>10</v>
      </c>
      <c r="D112" s="9" t="s">
        <v>242</v>
      </c>
      <c r="E112" s="9">
        <f t="shared" ca="1" si="5"/>
        <v>7</v>
      </c>
      <c r="F112" s="9" t="s">
        <v>13</v>
      </c>
      <c r="G112" s="9" t="s">
        <v>19</v>
      </c>
      <c r="H112" s="13">
        <v>46135</v>
      </c>
      <c r="I112" s="13">
        <v>46137</v>
      </c>
      <c r="J112" s="13" t="s">
        <v>236</v>
      </c>
      <c r="K112" s="13" t="s">
        <v>236</v>
      </c>
      <c r="L112" s="9" t="s">
        <v>223</v>
      </c>
      <c r="M112" s="14">
        <v>897659</v>
      </c>
      <c r="N112" s="14">
        <v>0</v>
      </c>
      <c r="O112" s="14" t="s">
        <v>234</v>
      </c>
      <c r="P112" s="9">
        <v>0</v>
      </c>
      <c r="Q112" s="9">
        <v>0</v>
      </c>
      <c r="R112" s="15" t="s">
        <v>230</v>
      </c>
    </row>
    <row r="113" spans="1:18" x14ac:dyDescent="0.35">
      <c r="A113" s="12" t="str">
        <f t="shared" si="6"/>
        <v>C112</v>
      </c>
      <c r="B113" s="9" t="s">
        <v>137</v>
      </c>
      <c r="C113" s="9" t="s">
        <v>11</v>
      </c>
      <c r="D113" s="9" t="s">
        <v>240</v>
      </c>
      <c r="E113" s="9">
        <f t="shared" ca="1" si="5"/>
        <v>0</v>
      </c>
      <c r="F113" s="9" t="s">
        <v>15</v>
      </c>
      <c r="G113" s="9" t="s">
        <v>17</v>
      </c>
      <c r="H113" s="13">
        <v>46136</v>
      </c>
      <c r="I113" s="13">
        <v>46139</v>
      </c>
      <c r="J113" s="13">
        <v>46141</v>
      </c>
      <c r="K113" s="13" t="s">
        <v>236</v>
      </c>
      <c r="L113" s="9" t="s">
        <v>224</v>
      </c>
      <c r="M113" s="14">
        <v>679361</v>
      </c>
      <c r="N113" s="14">
        <v>0</v>
      </c>
      <c r="O113" s="14" t="s">
        <v>235</v>
      </c>
      <c r="P113" s="9">
        <v>0</v>
      </c>
      <c r="Q113" s="9">
        <v>0</v>
      </c>
      <c r="R113" s="15" t="s">
        <v>232</v>
      </c>
    </row>
    <row r="114" spans="1:18" x14ac:dyDescent="0.35">
      <c r="A114" s="12" t="str">
        <f t="shared" si="6"/>
        <v>C113</v>
      </c>
      <c r="B114" s="9" t="s">
        <v>138</v>
      </c>
      <c r="C114" s="9" t="s">
        <v>11</v>
      </c>
      <c r="D114" s="9" t="s">
        <v>241</v>
      </c>
      <c r="E114" s="9">
        <f t="shared" ca="1" si="5"/>
        <v>9</v>
      </c>
      <c r="F114" s="9" t="s">
        <v>14</v>
      </c>
      <c r="G114" s="9" t="s">
        <v>16</v>
      </c>
      <c r="H114" s="13">
        <v>46137</v>
      </c>
      <c r="I114" s="13">
        <v>46138</v>
      </c>
      <c r="J114" s="13">
        <v>46142</v>
      </c>
      <c r="K114" s="13">
        <v>46145</v>
      </c>
      <c r="L114" s="9" t="s">
        <v>21</v>
      </c>
      <c r="M114" s="14">
        <v>406451</v>
      </c>
      <c r="N114" s="14">
        <v>382064</v>
      </c>
      <c r="O114" s="14" t="s">
        <v>22</v>
      </c>
      <c r="P114" s="9">
        <v>0</v>
      </c>
      <c r="Q114" s="9">
        <v>-24387</v>
      </c>
      <c r="R114" s="15" t="s">
        <v>231</v>
      </c>
    </row>
    <row r="115" spans="1:18" x14ac:dyDescent="0.35">
      <c r="A115" s="12" t="str">
        <f t="shared" si="6"/>
        <v>C114</v>
      </c>
      <c r="B115" s="9" t="s">
        <v>139</v>
      </c>
      <c r="C115" s="9" t="s">
        <v>11</v>
      </c>
      <c r="D115" s="9" t="s">
        <v>242</v>
      </c>
      <c r="E115" s="9">
        <f t="shared" ca="1" si="5"/>
        <v>1</v>
      </c>
      <c r="F115" s="9" t="s">
        <v>12</v>
      </c>
      <c r="G115" s="9" t="s">
        <v>16</v>
      </c>
      <c r="H115" s="13">
        <v>46138</v>
      </c>
      <c r="I115" s="13">
        <v>46140</v>
      </c>
      <c r="J115" s="13">
        <v>46145</v>
      </c>
      <c r="K115" s="13">
        <v>46147</v>
      </c>
      <c r="L115" s="9" t="s">
        <v>21</v>
      </c>
      <c r="M115" s="14">
        <v>464431</v>
      </c>
      <c r="N115" s="14">
        <v>441209</v>
      </c>
      <c r="O115" s="14" t="s">
        <v>22</v>
      </c>
      <c r="P115" s="9">
        <v>0</v>
      </c>
      <c r="Q115" s="9">
        <v>-23222</v>
      </c>
      <c r="R115" s="15" t="s">
        <v>231</v>
      </c>
    </row>
    <row r="116" spans="1:18" x14ac:dyDescent="0.35">
      <c r="A116" s="12" t="str">
        <f t="shared" si="6"/>
        <v>C115</v>
      </c>
      <c r="B116" s="9" t="s">
        <v>140</v>
      </c>
      <c r="C116" s="9" t="s">
        <v>10</v>
      </c>
      <c r="D116" s="9" t="s">
        <v>239</v>
      </c>
      <c r="E116" s="9">
        <f t="shared" ca="1" si="5"/>
        <v>10</v>
      </c>
      <c r="F116" s="9" t="s">
        <v>15</v>
      </c>
      <c r="G116" s="9" t="s">
        <v>16</v>
      </c>
      <c r="H116" s="13">
        <v>46139</v>
      </c>
      <c r="I116" s="13">
        <v>46142</v>
      </c>
      <c r="J116" s="13">
        <v>46144</v>
      </c>
      <c r="K116" s="13" t="s">
        <v>236</v>
      </c>
      <c r="L116" s="9" t="s">
        <v>224</v>
      </c>
      <c r="M116" s="14">
        <v>650240</v>
      </c>
      <c r="N116" s="14">
        <v>0</v>
      </c>
      <c r="O116" s="14" t="s">
        <v>235</v>
      </c>
      <c r="P116" s="9">
        <v>0</v>
      </c>
      <c r="Q116" s="9">
        <v>0</v>
      </c>
      <c r="R116" s="15" t="s">
        <v>232</v>
      </c>
    </row>
    <row r="117" spans="1:18" x14ac:dyDescent="0.35">
      <c r="A117" s="12" t="str">
        <f t="shared" ref="A117:A148" si="7">"C"&amp;TEXT(ROW()-1,"000")</f>
        <v>C116</v>
      </c>
      <c r="B117" s="9" t="s">
        <v>141</v>
      </c>
      <c r="C117" s="9" t="s">
        <v>11</v>
      </c>
      <c r="D117" s="9" t="s">
        <v>242</v>
      </c>
      <c r="E117" s="9">
        <f t="shared" ca="1" si="5"/>
        <v>12</v>
      </c>
      <c r="F117" s="9" t="s">
        <v>14</v>
      </c>
      <c r="G117" s="9" t="s">
        <v>18</v>
      </c>
      <c r="H117" s="13">
        <v>46140</v>
      </c>
      <c r="I117" s="13">
        <v>46143</v>
      </c>
      <c r="J117" s="13">
        <v>46148</v>
      </c>
      <c r="K117" s="13">
        <v>46151</v>
      </c>
      <c r="L117" s="9" t="s">
        <v>21</v>
      </c>
      <c r="M117" s="14">
        <v>351090</v>
      </c>
      <c r="N117" s="14">
        <v>323003</v>
      </c>
      <c r="O117" s="14" t="s">
        <v>22</v>
      </c>
      <c r="P117" s="9">
        <v>0</v>
      </c>
      <c r="Q117" s="9">
        <v>-28087</v>
      </c>
      <c r="R117" s="15" t="s">
        <v>231</v>
      </c>
    </row>
    <row r="118" spans="1:18" x14ac:dyDescent="0.35">
      <c r="A118" s="12" t="str">
        <f t="shared" si="7"/>
        <v>C117</v>
      </c>
      <c r="B118" s="9" t="s">
        <v>142</v>
      </c>
      <c r="C118" s="9" t="s">
        <v>10</v>
      </c>
      <c r="D118" s="9" t="s">
        <v>241</v>
      </c>
      <c r="E118" s="9">
        <f t="shared" ca="1" si="5"/>
        <v>7</v>
      </c>
      <c r="F118" s="9" t="s">
        <v>15</v>
      </c>
      <c r="G118" s="9" t="s">
        <v>18</v>
      </c>
      <c r="H118" s="13">
        <v>46141</v>
      </c>
      <c r="I118" s="13">
        <v>46144</v>
      </c>
      <c r="J118" s="13">
        <v>46146</v>
      </c>
      <c r="K118" s="13">
        <v>46147</v>
      </c>
      <c r="L118" s="9" t="s">
        <v>21</v>
      </c>
      <c r="M118" s="14">
        <v>451876</v>
      </c>
      <c r="N118" s="14">
        <v>433801</v>
      </c>
      <c r="O118" s="14" t="s">
        <v>22</v>
      </c>
      <c r="P118" s="9">
        <v>0</v>
      </c>
      <c r="Q118" s="9">
        <v>-18075</v>
      </c>
      <c r="R118" s="15" t="s">
        <v>231</v>
      </c>
    </row>
    <row r="119" spans="1:18" x14ac:dyDescent="0.35">
      <c r="A119" s="12" t="str">
        <f t="shared" si="7"/>
        <v>C118</v>
      </c>
      <c r="B119" s="9" t="s">
        <v>143</v>
      </c>
      <c r="C119" s="9" t="s">
        <v>11</v>
      </c>
      <c r="D119" s="9" t="s">
        <v>241</v>
      </c>
      <c r="E119" s="9">
        <f t="shared" ca="1" si="5"/>
        <v>12</v>
      </c>
      <c r="F119" s="9" t="s">
        <v>14</v>
      </c>
      <c r="G119" s="9" t="s">
        <v>18</v>
      </c>
      <c r="H119" s="13">
        <v>46142</v>
      </c>
      <c r="I119" s="13">
        <v>46143</v>
      </c>
      <c r="J119" s="13">
        <v>46148</v>
      </c>
      <c r="K119" s="13" t="s">
        <v>236</v>
      </c>
      <c r="L119" s="9" t="s">
        <v>224</v>
      </c>
      <c r="M119" s="14">
        <v>522700</v>
      </c>
      <c r="N119" s="14">
        <v>0</v>
      </c>
      <c r="O119" s="14" t="s">
        <v>235</v>
      </c>
      <c r="P119" s="9">
        <v>0</v>
      </c>
      <c r="Q119" s="9">
        <v>0</v>
      </c>
      <c r="R119" s="15" t="s">
        <v>232</v>
      </c>
    </row>
    <row r="120" spans="1:18" x14ac:dyDescent="0.35">
      <c r="A120" s="12" t="str">
        <f t="shared" si="7"/>
        <v>C119</v>
      </c>
      <c r="B120" s="9" t="s">
        <v>144</v>
      </c>
      <c r="C120" s="9" t="s">
        <v>11</v>
      </c>
      <c r="D120" s="9" t="s">
        <v>238</v>
      </c>
      <c r="E120" s="9">
        <f t="shared" ca="1" si="5"/>
        <v>6</v>
      </c>
      <c r="F120" s="9" t="s">
        <v>15</v>
      </c>
      <c r="G120" s="9" t="s">
        <v>19</v>
      </c>
      <c r="H120" s="13">
        <v>46143</v>
      </c>
      <c r="I120" s="13">
        <v>46145</v>
      </c>
      <c r="J120" s="13">
        <v>46147</v>
      </c>
      <c r="K120" s="13">
        <v>46150</v>
      </c>
      <c r="L120" s="9" t="s">
        <v>21</v>
      </c>
      <c r="M120" s="14">
        <v>394495</v>
      </c>
      <c r="N120" s="14">
        <v>382660</v>
      </c>
      <c r="O120" s="14" t="s">
        <v>22</v>
      </c>
      <c r="P120" s="9">
        <v>0</v>
      </c>
      <c r="Q120" s="9">
        <v>-11835</v>
      </c>
      <c r="R120" s="15" t="s">
        <v>231</v>
      </c>
    </row>
    <row r="121" spans="1:18" x14ac:dyDescent="0.35">
      <c r="A121" s="12" t="str">
        <f t="shared" si="7"/>
        <v>C120</v>
      </c>
      <c r="B121" s="9" t="s">
        <v>145</v>
      </c>
      <c r="C121" s="9" t="s">
        <v>10</v>
      </c>
      <c r="D121" s="9" t="s">
        <v>242</v>
      </c>
      <c r="E121" s="9">
        <f t="shared" ca="1" si="5"/>
        <v>5</v>
      </c>
      <c r="F121" s="9" t="s">
        <v>13</v>
      </c>
      <c r="G121" s="9" t="s">
        <v>17</v>
      </c>
      <c r="H121" s="13">
        <v>46144</v>
      </c>
      <c r="I121" s="13">
        <v>46145</v>
      </c>
      <c r="J121" s="13" t="s">
        <v>236</v>
      </c>
      <c r="K121" s="13" t="s">
        <v>236</v>
      </c>
      <c r="L121" s="9" t="s">
        <v>223</v>
      </c>
      <c r="M121" s="14">
        <v>814828</v>
      </c>
      <c r="N121" s="14">
        <v>0</v>
      </c>
      <c r="O121" s="14" t="s">
        <v>234</v>
      </c>
      <c r="P121" s="9">
        <v>0</v>
      </c>
      <c r="Q121" s="9">
        <v>0</v>
      </c>
      <c r="R121" s="15" t="s">
        <v>230</v>
      </c>
    </row>
    <row r="122" spans="1:18" x14ac:dyDescent="0.35">
      <c r="A122" s="12" t="str">
        <f t="shared" si="7"/>
        <v>C121</v>
      </c>
      <c r="B122" s="9" t="s">
        <v>146</v>
      </c>
      <c r="C122" s="9" t="s">
        <v>10</v>
      </c>
      <c r="D122" s="9" t="s">
        <v>242</v>
      </c>
      <c r="E122" s="9">
        <f t="shared" ca="1" si="5"/>
        <v>6</v>
      </c>
      <c r="F122" s="9" t="s">
        <v>15</v>
      </c>
      <c r="G122" s="9" t="s">
        <v>19</v>
      </c>
      <c r="H122" s="13">
        <v>46145</v>
      </c>
      <c r="I122" s="13">
        <v>46148</v>
      </c>
      <c r="J122" s="13" t="s">
        <v>236</v>
      </c>
      <c r="K122" s="13" t="s">
        <v>236</v>
      </c>
      <c r="L122" s="9" t="s">
        <v>223</v>
      </c>
      <c r="M122" s="14">
        <v>461909</v>
      </c>
      <c r="N122" s="14">
        <v>0</v>
      </c>
      <c r="O122" s="14" t="s">
        <v>234</v>
      </c>
      <c r="P122" s="9">
        <v>0</v>
      </c>
      <c r="Q122" s="9">
        <v>0</v>
      </c>
      <c r="R122" s="15" t="s">
        <v>230</v>
      </c>
    </row>
    <row r="123" spans="1:18" x14ac:dyDescent="0.35">
      <c r="A123" s="12" t="str">
        <f t="shared" si="7"/>
        <v>C122</v>
      </c>
      <c r="B123" s="9" t="s">
        <v>147</v>
      </c>
      <c r="C123" s="9" t="s">
        <v>10</v>
      </c>
      <c r="D123" s="9" t="s">
        <v>239</v>
      </c>
      <c r="E123" s="9">
        <f t="shared" ca="1" si="5"/>
        <v>10</v>
      </c>
      <c r="F123" s="9" t="s">
        <v>15</v>
      </c>
      <c r="G123" s="9" t="s">
        <v>18</v>
      </c>
      <c r="H123" s="13">
        <v>46146</v>
      </c>
      <c r="I123" s="13">
        <v>46148</v>
      </c>
      <c r="J123" s="13">
        <v>46153</v>
      </c>
      <c r="K123" s="13">
        <v>46154</v>
      </c>
      <c r="L123" s="9" t="s">
        <v>21</v>
      </c>
      <c r="M123" s="14">
        <v>660681</v>
      </c>
      <c r="N123" s="14">
        <v>621040</v>
      </c>
      <c r="O123" s="14" t="s">
        <v>22</v>
      </c>
      <c r="P123" s="9">
        <v>0</v>
      </c>
      <c r="Q123" s="9">
        <v>-39641</v>
      </c>
      <c r="R123" s="15" t="s">
        <v>231</v>
      </c>
    </row>
    <row r="124" spans="1:18" x14ac:dyDescent="0.35">
      <c r="A124" s="12" t="str">
        <f t="shared" si="7"/>
        <v>C123</v>
      </c>
      <c r="B124" s="9" t="s">
        <v>148</v>
      </c>
      <c r="C124" s="9" t="s">
        <v>10</v>
      </c>
      <c r="D124" s="9" t="s">
        <v>242</v>
      </c>
      <c r="E124" s="9">
        <f t="shared" ca="1" si="5"/>
        <v>12</v>
      </c>
      <c r="F124" s="9" t="s">
        <v>12</v>
      </c>
      <c r="G124" s="9" t="s">
        <v>17</v>
      </c>
      <c r="H124" s="13">
        <v>46147</v>
      </c>
      <c r="I124" s="13">
        <v>46150</v>
      </c>
      <c r="J124" s="13" t="s">
        <v>236</v>
      </c>
      <c r="K124" s="13" t="s">
        <v>236</v>
      </c>
      <c r="L124" s="9" t="s">
        <v>223</v>
      </c>
      <c r="M124" s="14">
        <v>583986</v>
      </c>
      <c r="N124" s="14">
        <v>0</v>
      </c>
      <c r="O124" s="14" t="s">
        <v>234</v>
      </c>
      <c r="P124" s="9">
        <v>0</v>
      </c>
      <c r="Q124" s="9">
        <v>0</v>
      </c>
      <c r="R124" s="15" t="s">
        <v>230</v>
      </c>
    </row>
    <row r="125" spans="1:18" x14ac:dyDescent="0.35">
      <c r="A125" s="12" t="str">
        <f t="shared" si="7"/>
        <v>C124</v>
      </c>
      <c r="B125" s="9" t="s">
        <v>149</v>
      </c>
      <c r="C125" s="9" t="s">
        <v>10</v>
      </c>
      <c r="D125" s="9" t="s">
        <v>241</v>
      </c>
      <c r="E125" s="9">
        <f t="shared" ca="1" si="5"/>
        <v>6</v>
      </c>
      <c r="F125" s="9" t="s">
        <v>12</v>
      </c>
      <c r="G125" s="9" t="s">
        <v>18</v>
      </c>
      <c r="H125" s="13">
        <v>46148</v>
      </c>
      <c r="I125" s="13">
        <v>46151</v>
      </c>
      <c r="J125" s="13" t="s">
        <v>236</v>
      </c>
      <c r="K125" s="13" t="s">
        <v>236</v>
      </c>
      <c r="L125" s="9" t="s">
        <v>223</v>
      </c>
      <c r="M125" s="14">
        <v>424243</v>
      </c>
      <c r="N125" s="14">
        <v>0</v>
      </c>
      <c r="O125" s="14" t="s">
        <v>234</v>
      </c>
      <c r="P125" s="9">
        <v>0</v>
      </c>
      <c r="Q125" s="9">
        <v>0</v>
      </c>
      <c r="R125" s="15" t="s">
        <v>230</v>
      </c>
    </row>
    <row r="126" spans="1:18" x14ac:dyDescent="0.35">
      <c r="A126" s="12" t="str">
        <f t="shared" si="7"/>
        <v>C125</v>
      </c>
      <c r="B126" s="9" t="s">
        <v>150</v>
      </c>
      <c r="C126" s="9" t="s">
        <v>10</v>
      </c>
      <c r="D126" s="9" t="s">
        <v>241</v>
      </c>
      <c r="E126" s="9">
        <f t="shared" ca="1" si="5"/>
        <v>10</v>
      </c>
      <c r="F126" s="9" t="s">
        <v>15</v>
      </c>
      <c r="G126" s="9" t="s">
        <v>19</v>
      </c>
      <c r="H126" s="13">
        <v>46149</v>
      </c>
      <c r="I126" s="13">
        <v>46150</v>
      </c>
      <c r="J126" s="13">
        <v>46155</v>
      </c>
      <c r="K126" s="13" t="s">
        <v>236</v>
      </c>
      <c r="L126" s="9" t="s">
        <v>224</v>
      </c>
      <c r="M126" s="14">
        <v>566189</v>
      </c>
      <c r="N126" s="14">
        <v>0</v>
      </c>
      <c r="O126" s="14" t="s">
        <v>235</v>
      </c>
      <c r="P126" s="9">
        <v>0</v>
      </c>
      <c r="Q126" s="9">
        <v>0</v>
      </c>
      <c r="R126" s="15" t="s">
        <v>232</v>
      </c>
    </row>
    <row r="127" spans="1:18" x14ac:dyDescent="0.35">
      <c r="A127" s="12" t="str">
        <f t="shared" si="7"/>
        <v>C126</v>
      </c>
      <c r="B127" s="9" t="s">
        <v>151</v>
      </c>
      <c r="C127" s="9" t="s">
        <v>10</v>
      </c>
      <c r="D127" s="9" t="s">
        <v>241</v>
      </c>
      <c r="E127" s="9">
        <f t="shared" ca="1" si="5"/>
        <v>6</v>
      </c>
      <c r="F127" s="9" t="s">
        <v>14</v>
      </c>
      <c r="G127" s="9" t="s">
        <v>16</v>
      </c>
      <c r="H127" s="13">
        <v>46150</v>
      </c>
      <c r="I127" s="13">
        <v>46153</v>
      </c>
      <c r="J127" s="13">
        <v>46158</v>
      </c>
      <c r="K127" s="13">
        <v>46160</v>
      </c>
      <c r="L127" s="9" t="s">
        <v>20</v>
      </c>
      <c r="M127" s="14">
        <v>320997</v>
      </c>
      <c r="N127" s="14">
        <v>292107</v>
      </c>
      <c r="O127" s="14" t="s">
        <v>236</v>
      </c>
      <c r="P127" s="9">
        <v>19</v>
      </c>
      <c r="Q127" s="9">
        <v>-28890</v>
      </c>
      <c r="R127" s="15" t="s">
        <v>229</v>
      </c>
    </row>
    <row r="128" spans="1:18" x14ac:dyDescent="0.35">
      <c r="A128" s="12" t="str">
        <f t="shared" si="7"/>
        <v>C127</v>
      </c>
      <c r="B128" s="9" t="s">
        <v>152</v>
      </c>
      <c r="C128" s="9" t="s">
        <v>11</v>
      </c>
      <c r="D128" s="9" t="s">
        <v>242</v>
      </c>
      <c r="E128" s="9">
        <f t="shared" ca="1" si="5"/>
        <v>6</v>
      </c>
      <c r="F128" s="9" t="s">
        <v>14</v>
      </c>
      <c r="G128" s="9" t="s">
        <v>19</v>
      </c>
      <c r="H128" s="13">
        <v>46151</v>
      </c>
      <c r="I128" s="13">
        <v>46153</v>
      </c>
      <c r="J128" s="13">
        <v>46155</v>
      </c>
      <c r="K128" s="13" t="s">
        <v>236</v>
      </c>
      <c r="L128" s="9" t="s">
        <v>224</v>
      </c>
      <c r="M128" s="14">
        <v>390666</v>
      </c>
      <c r="N128" s="14">
        <v>0</v>
      </c>
      <c r="O128" s="14" t="s">
        <v>235</v>
      </c>
      <c r="P128" s="9">
        <v>0</v>
      </c>
      <c r="Q128" s="9">
        <v>0</v>
      </c>
      <c r="R128" s="15" t="s">
        <v>232</v>
      </c>
    </row>
    <row r="129" spans="1:18" x14ac:dyDescent="0.35">
      <c r="A129" s="12" t="str">
        <f t="shared" si="7"/>
        <v>C128</v>
      </c>
      <c r="B129" s="9" t="s">
        <v>153</v>
      </c>
      <c r="C129" s="9" t="s">
        <v>10</v>
      </c>
      <c r="D129" s="9" t="s">
        <v>238</v>
      </c>
      <c r="E129" s="9">
        <f t="shared" ca="1" si="5"/>
        <v>6</v>
      </c>
      <c r="F129" s="9" t="s">
        <v>13</v>
      </c>
      <c r="G129" s="9" t="s">
        <v>18</v>
      </c>
      <c r="H129" s="13">
        <v>46152</v>
      </c>
      <c r="I129" s="13">
        <v>46153</v>
      </c>
      <c r="J129" s="13">
        <v>46157</v>
      </c>
      <c r="K129" s="13">
        <v>46159</v>
      </c>
      <c r="L129" s="9" t="s">
        <v>21</v>
      </c>
      <c r="M129" s="14">
        <v>447399</v>
      </c>
      <c r="N129" s="14">
        <v>407133</v>
      </c>
      <c r="O129" s="14" t="s">
        <v>22</v>
      </c>
      <c r="P129" s="9">
        <v>0</v>
      </c>
      <c r="Q129" s="9">
        <v>-40266</v>
      </c>
      <c r="R129" s="15" t="s">
        <v>231</v>
      </c>
    </row>
    <row r="130" spans="1:18" x14ac:dyDescent="0.35">
      <c r="A130" s="12" t="str">
        <f t="shared" si="7"/>
        <v>C129</v>
      </c>
      <c r="B130" s="9" t="s">
        <v>154</v>
      </c>
      <c r="C130" s="9" t="s">
        <v>11</v>
      </c>
      <c r="D130" s="9" t="s">
        <v>240</v>
      </c>
      <c r="E130" s="9">
        <f t="shared" ca="1" si="5"/>
        <v>11</v>
      </c>
      <c r="F130" s="9" t="s">
        <v>13</v>
      </c>
      <c r="G130" s="9" t="s">
        <v>16</v>
      </c>
      <c r="H130" s="13">
        <v>46153</v>
      </c>
      <c r="I130" s="13">
        <v>46155</v>
      </c>
      <c r="J130" s="13">
        <v>46159</v>
      </c>
      <c r="K130" s="13" t="s">
        <v>236</v>
      </c>
      <c r="L130" s="9" t="s">
        <v>224</v>
      </c>
      <c r="M130" s="14">
        <v>505520</v>
      </c>
      <c r="N130" s="14">
        <v>0</v>
      </c>
      <c r="O130" s="14" t="s">
        <v>235</v>
      </c>
      <c r="P130" s="9">
        <v>0</v>
      </c>
      <c r="Q130" s="9">
        <v>0</v>
      </c>
      <c r="R130" s="15" t="s">
        <v>232</v>
      </c>
    </row>
    <row r="131" spans="1:18" x14ac:dyDescent="0.35">
      <c r="A131" s="12" t="str">
        <f t="shared" si="7"/>
        <v>C130</v>
      </c>
      <c r="B131" s="9" t="s">
        <v>155</v>
      </c>
      <c r="C131" s="9" t="s">
        <v>11</v>
      </c>
      <c r="D131" s="9" t="s">
        <v>241</v>
      </c>
      <c r="E131" s="9">
        <f t="shared" ca="1" si="5"/>
        <v>0</v>
      </c>
      <c r="F131" s="9" t="s">
        <v>13</v>
      </c>
      <c r="G131" s="9" t="s">
        <v>18</v>
      </c>
      <c r="H131" s="13">
        <v>46154</v>
      </c>
      <c r="I131" s="13">
        <v>46156</v>
      </c>
      <c r="J131" s="13" t="s">
        <v>236</v>
      </c>
      <c r="K131" s="13" t="s">
        <v>236</v>
      </c>
      <c r="L131" s="9" t="s">
        <v>223</v>
      </c>
      <c r="M131" s="14">
        <v>390353</v>
      </c>
      <c r="N131" s="14">
        <v>0</v>
      </c>
      <c r="O131" s="14" t="s">
        <v>234</v>
      </c>
      <c r="P131" s="9">
        <v>0</v>
      </c>
      <c r="Q131" s="9">
        <v>0</v>
      </c>
      <c r="R131" s="15" t="s">
        <v>230</v>
      </c>
    </row>
    <row r="132" spans="1:18" x14ac:dyDescent="0.35">
      <c r="A132" s="12" t="str">
        <f t="shared" si="7"/>
        <v>C131</v>
      </c>
      <c r="B132" s="9" t="s">
        <v>156</v>
      </c>
      <c r="C132" s="9" t="s">
        <v>10</v>
      </c>
      <c r="D132" s="9" t="s">
        <v>239</v>
      </c>
      <c r="E132" s="9">
        <f t="shared" ca="1" si="5"/>
        <v>12</v>
      </c>
      <c r="F132" s="9" t="s">
        <v>13</v>
      </c>
      <c r="G132" s="9" t="s">
        <v>17</v>
      </c>
      <c r="H132" s="13">
        <v>46155</v>
      </c>
      <c r="I132" s="13">
        <v>46158</v>
      </c>
      <c r="J132" s="13">
        <v>46160</v>
      </c>
      <c r="K132" s="13" t="s">
        <v>236</v>
      </c>
      <c r="L132" s="9" t="s">
        <v>224</v>
      </c>
      <c r="M132" s="14">
        <v>1115489</v>
      </c>
      <c r="N132" s="14">
        <v>0</v>
      </c>
      <c r="O132" s="14" t="s">
        <v>235</v>
      </c>
      <c r="P132" s="9">
        <v>0</v>
      </c>
      <c r="Q132" s="9">
        <v>0</v>
      </c>
      <c r="R132" s="15" t="s">
        <v>232</v>
      </c>
    </row>
    <row r="133" spans="1:18" x14ac:dyDescent="0.35">
      <c r="A133" s="12" t="str">
        <f t="shared" si="7"/>
        <v>C132</v>
      </c>
      <c r="B133" s="9" t="s">
        <v>157</v>
      </c>
      <c r="C133" s="9" t="s">
        <v>11</v>
      </c>
      <c r="D133" s="9" t="s">
        <v>241</v>
      </c>
      <c r="E133" s="9">
        <f t="shared" ca="1" si="5"/>
        <v>0</v>
      </c>
      <c r="F133" s="9" t="s">
        <v>15</v>
      </c>
      <c r="G133" s="9" t="s">
        <v>18</v>
      </c>
      <c r="H133" s="13">
        <v>46156</v>
      </c>
      <c r="I133" s="13">
        <v>46159</v>
      </c>
      <c r="J133" s="13">
        <v>46164</v>
      </c>
      <c r="K133" s="13">
        <v>46167</v>
      </c>
      <c r="L133" s="9" t="s">
        <v>21</v>
      </c>
      <c r="M133" s="14">
        <v>473573</v>
      </c>
      <c r="N133" s="14">
        <v>449894</v>
      </c>
      <c r="O133" s="14" t="s">
        <v>22</v>
      </c>
      <c r="P133" s="9">
        <v>0</v>
      </c>
      <c r="Q133" s="9">
        <v>-23679</v>
      </c>
      <c r="R133" s="15" t="s">
        <v>231</v>
      </c>
    </row>
    <row r="134" spans="1:18" x14ac:dyDescent="0.35">
      <c r="A134" s="12" t="str">
        <f t="shared" si="7"/>
        <v>C133</v>
      </c>
      <c r="B134" s="9" t="s">
        <v>158</v>
      </c>
      <c r="C134" s="9" t="s">
        <v>11</v>
      </c>
      <c r="D134" s="9" t="s">
        <v>238</v>
      </c>
      <c r="E134" s="9">
        <f t="shared" ca="1" si="5"/>
        <v>5</v>
      </c>
      <c r="F134" s="9" t="s">
        <v>13</v>
      </c>
      <c r="G134" s="9" t="s">
        <v>16</v>
      </c>
      <c r="H134" s="13">
        <v>46157</v>
      </c>
      <c r="I134" s="13">
        <v>46159</v>
      </c>
      <c r="J134" s="13" t="s">
        <v>236</v>
      </c>
      <c r="K134" s="13" t="s">
        <v>236</v>
      </c>
      <c r="L134" s="9" t="s">
        <v>223</v>
      </c>
      <c r="M134" s="14">
        <v>519339</v>
      </c>
      <c r="N134" s="14">
        <v>0</v>
      </c>
      <c r="O134" s="14" t="s">
        <v>234</v>
      </c>
      <c r="P134" s="9">
        <v>0</v>
      </c>
      <c r="Q134" s="9">
        <v>0</v>
      </c>
      <c r="R134" s="15" t="s">
        <v>230</v>
      </c>
    </row>
    <row r="135" spans="1:18" x14ac:dyDescent="0.35">
      <c r="A135" s="12" t="str">
        <f t="shared" si="7"/>
        <v>C134</v>
      </c>
      <c r="B135" s="9" t="s">
        <v>159</v>
      </c>
      <c r="C135" s="9" t="s">
        <v>11</v>
      </c>
      <c r="D135" s="9" t="s">
        <v>238</v>
      </c>
      <c r="E135" s="9">
        <f t="shared" ca="1" si="5"/>
        <v>0</v>
      </c>
      <c r="F135" s="9" t="s">
        <v>15</v>
      </c>
      <c r="G135" s="9" t="s">
        <v>19</v>
      </c>
      <c r="H135" s="13">
        <v>46158</v>
      </c>
      <c r="I135" s="13">
        <v>46159</v>
      </c>
      <c r="J135" s="13">
        <v>46164</v>
      </c>
      <c r="K135" s="13">
        <v>46167</v>
      </c>
      <c r="L135" s="9" t="s">
        <v>21</v>
      </c>
      <c r="M135" s="14">
        <v>656406</v>
      </c>
      <c r="N135" s="14">
        <v>597329</v>
      </c>
      <c r="O135" s="14" t="s">
        <v>22</v>
      </c>
      <c r="P135" s="9">
        <v>0</v>
      </c>
      <c r="Q135" s="9">
        <v>-59077</v>
      </c>
      <c r="R135" s="15" t="s">
        <v>231</v>
      </c>
    </row>
    <row r="136" spans="1:18" x14ac:dyDescent="0.35">
      <c r="A136" s="12" t="str">
        <f t="shared" si="7"/>
        <v>C135</v>
      </c>
      <c r="B136" s="9" t="s">
        <v>160</v>
      </c>
      <c r="C136" s="9" t="s">
        <v>11</v>
      </c>
      <c r="D136" s="9" t="s">
        <v>239</v>
      </c>
      <c r="E136" s="9">
        <f t="shared" ca="1" si="5"/>
        <v>10</v>
      </c>
      <c r="F136" s="9" t="s">
        <v>14</v>
      </c>
      <c r="G136" s="9" t="s">
        <v>18</v>
      </c>
      <c r="H136" s="13">
        <v>46159</v>
      </c>
      <c r="I136" s="13">
        <v>46162</v>
      </c>
      <c r="J136" s="13" t="s">
        <v>236</v>
      </c>
      <c r="K136" s="13" t="s">
        <v>236</v>
      </c>
      <c r="L136" s="9" t="s">
        <v>223</v>
      </c>
      <c r="M136" s="14">
        <v>373350</v>
      </c>
      <c r="N136" s="14">
        <v>0</v>
      </c>
      <c r="O136" s="14" t="s">
        <v>234</v>
      </c>
      <c r="P136" s="9">
        <v>0</v>
      </c>
      <c r="Q136" s="9">
        <v>0</v>
      </c>
      <c r="R136" s="15" t="s">
        <v>230</v>
      </c>
    </row>
    <row r="137" spans="1:18" x14ac:dyDescent="0.35">
      <c r="A137" s="12" t="str">
        <f t="shared" si="7"/>
        <v>C136</v>
      </c>
      <c r="B137" s="9" t="s">
        <v>161</v>
      </c>
      <c r="C137" s="9" t="s">
        <v>10</v>
      </c>
      <c r="D137" s="9" t="s">
        <v>241</v>
      </c>
      <c r="E137" s="9">
        <f t="shared" ca="1" si="5"/>
        <v>8</v>
      </c>
      <c r="F137" s="9" t="s">
        <v>15</v>
      </c>
      <c r="G137" s="9" t="s">
        <v>18</v>
      </c>
      <c r="H137" s="13">
        <v>46161</v>
      </c>
      <c r="I137" s="13">
        <v>46162</v>
      </c>
      <c r="J137" s="13" t="s">
        <v>236</v>
      </c>
      <c r="K137" s="13" t="s">
        <v>236</v>
      </c>
      <c r="L137" s="9" t="s">
        <v>223</v>
      </c>
      <c r="M137" s="14">
        <v>562173</v>
      </c>
      <c r="N137" s="14">
        <v>0</v>
      </c>
      <c r="O137" s="14" t="s">
        <v>234</v>
      </c>
      <c r="P137" s="9">
        <v>0</v>
      </c>
      <c r="Q137" s="9">
        <v>0</v>
      </c>
      <c r="R137" s="15" t="s">
        <v>230</v>
      </c>
    </row>
    <row r="138" spans="1:18" x14ac:dyDescent="0.35">
      <c r="A138" s="12" t="str">
        <f t="shared" si="7"/>
        <v>C137</v>
      </c>
      <c r="B138" s="9" t="s">
        <v>162</v>
      </c>
      <c r="C138" s="9" t="s">
        <v>10</v>
      </c>
      <c r="D138" s="9" t="s">
        <v>240</v>
      </c>
      <c r="E138" s="9">
        <f t="shared" ca="1" si="5"/>
        <v>1</v>
      </c>
      <c r="F138" s="9" t="s">
        <v>12</v>
      </c>
      <c r="G138" s="9" t="s">
        <v>16</v>
      </c>
      <c r="H138" s="13">
        <v>46162</v>
      </c>
      <c r="I138" s="13">
        <v>46165</v>
      </c>
      <c r="J138" s="13" t="s">
        <v>236</v>
      </c>
      <c r="K138" s="13" t="s">
        <v>236</v>
      </c>
      <c r="L138" s="9" t="s">
        <v>223</v>
      </c>
      <c r="M138" s="14">
        <v>321081</v>
      </c>
      <c r="N138" s="14">
        <v>0</v>
      </c>
      <c r="O138" s="14" t="s">
        <v>234</v>
      </c>
      <c r="P138" s="9">
        <v>0</v>
      </c>
      <c r="Q138" s="9">
        <v>0</v>
      </c>
      <c r="R138" s="15" t="s">
        <v>230</v>
      </c>
    </row>
    <row r="139" spans="1:18" x14ac:dyDescent="0.35">
      <c r="A139" s="12" t="str">
        <f t="shared" si="7"/>
        <v>C138</v>
      </c>
      <c r="B139" s="9" t="s">
        <v>163</v>
      </c>
      <c r="C139" s="9" t="s">
        <v>10</v>
      </c>
      <c r="D139" s="9" t="s">
        <v>240</v>
      </c>
      <c r="E139" s="9">
        <f t="shared" ca="1" si="5"/>
        <v>9</v>
      </c>
      <c r="F139" s="9" t="s">
        <v>12</v>
      </c>
      <c r="G139" s="9" t="s">
        <v>17</v>
      </c>
      <c r="H139" s="13">
        <v>46163</v>
      </c>
      <c r="I139" s="13">
        <v>46165</v>
      </c>
      <c r="J139" s="13">
        <v>46167</v>
      </c>
      <c r="K139" s="13">
        <v>46169</v>
      </c>
      <c r="L139" s="9" t="s">
        <v>20</v>
      </c>
      <c r="M139" s="14">
        <v>572605</v>
      </c>
      <c r="N139" s="14">
        <v>521071</v>
      </c>
      <c r="O139" s="14" t="s">
        <v>236</v>
      </c>
      <c r="P139" s="9">
        <v>19</v>
      </c>
      <c r="Q139" s="9">
        <v>-51534</v>
      </c>
      <c r="R139" s="15" t="s">
        <v>229</v>
      </c>
    </row>
    <row r="140" spans="1:18" x14ac:dyDescent="0.35">
      <c r="A140" s="12" t="str">
        <f t="shared" si="7"/>
        <v>C139</v>
      </c>
      <c r="B140" s="9" t="s">
        <v>164</v>
      </c>
      <c r="C140" s="9" t="s">
        <v>11</v>
      </c>
      <c r="D140" s="9" t="s">
        <v>239</v>
      </c>
      <c r="E140" s="9">
        <f t="shared" ca="1" si="5"/>
        <v>2</v>
      </c>
      <c r="F140" s="9" t="s">
        <v>14</v>
      </c>
      <c r="G140" s="9" t="s">
        <v>16</v>
      </c>
      <c r="H140" s="13">
        <v>46164</v>
      </c>
      <c r="I140" s="13">
        <v>46167</v>
      </c>
      <c r="J140" s="13">
        <v>46171</v>
      </c>
      <c r="K140" s="13">
        <v>46172</v>
      </c>
      <c r="L140" s="9" t="s">
        <v>21</v>
      </c>
      <c r="M140" s="14">
        <v>533437</v>
      </c>
      <c r="N140" s="14">
        <v>506765</v>
      </c>
      <c r="O140" s="14" t="s">
        <v>22</v>
      </c>
      <c r="P140" s="9">
        <v>0</v>
      </c>
      <c r="Q140" s="9">
        <v>-26672</v>
      </c>
      <c r="R140" s="15" t="s">
        <v>231</v>
      </c>
    </row>
    <row r="141" spans="1:18" x14ac:dyDescent="0.35">
      <c r="A141" s="12" t="str">
        <f t="shared" si="7"/>
        <v>C140</v>
      </c>
      <c r="B141" s="9" t="s">
        <v>165</v>
      </c>
      <c r="C141" s="9" t="s">
        <v>11</v>
      </c>
      <c r="D141" s="9" t="s">
        <v>240</v>
      </c>
      <c r="E141" s="9">
        <f t="shared" ca="1" si="5"/>
        <v>10</v>
      </c>
      <c r="F141" s="9" t="s">
        <v>13</v>
      </c>
      <c r="G141" s="9" t="s">
        <v>18</v>
      </c>
      <c r="H141" s="13">
        <v>46165</v>
      </c>
      <c r="I141" s="13">
        <v>46167</v>
      </c>
      <c r="J141" s="13">
        <v>46172</v>
      </c>
      <c r="K141" s="13" t="s">
        <v>236</v>
      </c>
      <c r="L141" s="9" t="s">
        <v>224</v>
      </c>
      <c r="M141" s="14">
        <v>1076985</v>
      </c>
      <c r="N141" s="14">
        <v>0</v>
      </c>
      <c r="O141" s="14" t="s">
        <v>235</v>
      </c>
      <c r="P141" s="9">
        <v>0</v>
      </c>
      <c r="Q141" s="9">
        <v>0</v>
      </c>
      <c r="R141" s="15" t="s">
        <v>232</v>
      </c>
    </row>
    <row r="142" spans="1:18" x14ac:dyDescent="0.35">
      <c r="A142" s="12" t="str">
        <f t="shared" si="7"/>
        <v>C141</v>
      </c>
      <c r="B142" s="9" t="s">
        <v>166</v>
      </c>
      <c r="C142" s="9" t="s">
        <v>10</v>
      </c>
      <c r="D142" s="9" t="s">
        <v>238</v>
      </c>
      <c r="E142" s="9">
        <f t="shared" ca="1" si="5"/>
        <v>8</v>
      </c>
      <c r="F142" s="9" t="s">
        <v>12</v>
      </c>
      <c r="G142" s="9" t="s">
        <v>17</v>
      </c>
      <c r="H142" s="13">
        <v>46166</v>
      </c>
      <c r="I142" s="13">
        <v>46169</v>
      </c>
      <c r="J142" s="13">
        <v>46174</v>
      </c>
      <c r="K142" s="13">
        <v>46177</v>
      </c>
      <c r="L142" s="9" t="s">
        <v>21</v>
      </c>
      <c r="M142" s="14">
        <v>590752</v>
      </c>
      <c r="N142" s="14">
        <v>584844</v>
      </c>
      <c r="O142" s="14" t="s">
        <v>22</v>
      </c>
      <c r="P142" s="9">
        <v>0</v>
      </c>
      <c r="Q142" s="9">
        <v>-5908</v>
      </c>
      <c r="R142" s="15" t="s">
        <v>231</v>
      </c>
    </row>
    <row r="143" spans="1:18" x14ac:dyDescent="0.35">
      <c r="A143" s="12" t="str">
        <f t="shared" si="7"/>
        <v>C142</v>
      </c>
      <c r="B143" s="9" t="s">
        <v>167</v>
      </c>
      <c r="C143" s="9" t="s">
        <v>11</v>
      </c>
      <c r="D143" s="9" t="s">
        <v>239</v>
      </c>
      <c r="E143" s="9">
        <f t="shared" ca="1" si="5"/>
        <v>3</v>
      </c>
      <c r="F143" s="9" t="s">
        <v>13</v>
      </c>
      <c r="G143" s="9" t="s">
        <v>18</v>
      </c>
      <c r="H143" s="13">
        <v>46167</v>
      </c>
      <c r="I143" s="13">
        <v>46169</v>
      </c>
      <c r="J143" s="13" t="s">
        <v>236</v>
      </c>
      <c r="K143" s="13" t="s">
        <v>236</v>
      </c>
      <c r="L143" s="9" t="s">
        <v>223</v>
      </c>
      <c r="M143" s="14">
        <v>440716</v>
      </c>
      <c r="N143" s="14">
        <v>0</v>
      </c>
      <c r="O143" s="14" t="s">
        <v>234</v>
      </c>
      <c r="P143" s="9">
        <v>0</v>
      </c>
      <c r="Q143" s="9">
        <v>0</v>
      </c>
      <c r="R143" s="15" t="s">
        <v>230</v>
      </c>
    </row>
    <row r="144" spans="1:18" x14ac:dyDescent="0.35">
      <c r="A144" s="12" t="str">
        <f t="shared" si="7"/>
        <v>C143</v>
      </c>
      <c r="B144" s="9" t="s">
        <v>168</v>
      </c>
      <c r="C144" s="9" t="s">
        <v>10</v>
      </c>
      <c r="D144" s="9" t="s">
        <v>239</v>
      </c>
      <c r="E144" s="9">
        <f t="shared" ca="1" si="5"/>
        <v>1</v>
      </c>
      <c r="F144" s="9" t="s">
        <v>12</v>
      </c>
      <c r="G144" s="9" t="s">
        <v>16</v>
      </c>
      <c r="H144" s="13">
        <v>46168</v>
      </c>
      <c r="I144" s="13">
        <v>46171</v>
      </c>
      <c r="J144" s="13">
        <v>46174</v>
      </c>
      <c r="K144" s="13">
        <v>46176</v>
      </c>
      <c r="L144" s="9" t="s">
        <v>20</v>
      </c>
      <c r="M144" s="14">
        <v>436129</v>
      </c>
      <c r="N144" s="14">
        <v>431768</v>
      </c>
      <c r="O144" s="14" t="s">
        <v>236</v>
      </c>
      <c r="P144" s="9">
        <v>21</v>
      </c>
      <c r="Q144" s="9">
        <v>-4361</v>
      </c>
      <c r="R144" s="15" t="s">
        <v>229</v>
      </c>
    </row>
    <row r="145" spans="1:18" x14ac:dyDescent="0.35">
      <c r="A145" s="12" t="str">
        <f t="shared" si="7"/>
        <v>C144</v>
      </c>
      <c r="B145" s="9" t="s">
        <v>169</v>
      </c>
      <c r="C145" s="9" t="s">
        <v>10</v>
      </c>
      <c r="D145" s="9" t="s">
        <v>242</v>
      </c>
      <c r="E145" s="9">
        <f t="shared" ca="1" si="5"/>
        <v>7</v>
      </c>
      <c r="F145" s="9" t="s">
        <v>13</v>
      </c>
      <c r="G145" s="9" t="s">
        <v>16</v>
      </c>
      <c r="H145" s="13">
        <v>46169</v>
      </c>
      <c r="I145" s="13">
        <v>46172</v>
      </c>
      <c r="J145" s="13">
        <v>46177</v>
      </c>
      <c r="K145" s="13" t="s">
        <v>236</v>
      </c>
      <c r="L145" s="9" t="s">
        <v>224</v>
      </c>
      <c r="M145" s="14">
        <v>1148196</v>
      </c>
      <c r="N145" s="14">
        <v>0</v>
      </c>
      <c r="O145" s="14" t="s">
        <v>235</v>
      </c>
      <c r="P145" s="9">
        <v>0</v>
      </c>
      <c r="Q145" s="9">
        <v>0</v>
      </c>
      <c r="R145" s="15" t="s">
        <v>232</v>
      </c>
    </row>
    <row r="146" spans="1:18" x14ac:dyDescent="0.35">
      <c r="A146" s="12" t="str">
        <f t="shared" si="7"/>
        <v>C145</v>
      </c>
      <c r="B146" s="9" t="s">
        <v>170</v>
      </c>
      <c r="C146" s="9" t="s">
        <v>11</v>
      </c>
      <c r="D146" s="9" t="s">
        <v>240</v>
      </c>
      <c r="E146" s="9">
        <f t="shared" ca="1" si="5"/>
        <v>9</v>
      </c>
      <c r="F146" s="9" t="s">
        <v>13</v>
      </c>
      <c r="G146" s="9" t="s">
        <v>19</v>
      </c>
      <c r="H146" s="13">
        <v>46170</v>
      </c>
      <c r="I146" s="13">
        <v>46171</v>
      </c>
      <c r="J146" s="13">
        <v>46173</v>
      </c>
      <c r="K146" s="13" t="s">
        <v>236</v>
      </c>
      <c r="L146" s="9" t="s">
        <v>224</v>
      </c>
      <c r="M146" s="14">
        <v>1193421</v>
      </c>
      <c r="N146" s="14">
        <v>0</v>
      </c>
      <c r="O146" s="14" t="s">
        <v>235</v>
      </c>
      <c r="P146" s="9">
        <v>0</v>
      </c>
      <c r="Q146" s="9">
        <v>0</v>
      </c>
      <c r="R146" s="15" t="s">
        <v>232</v>
      </c>
    </row>
    <row r="147" spans="1:18" x14ac:dyDescent="0.35">
      <c r="A147" s="12" t="str">
        <f t="shared" si="7"/>
        <v>C146</v>
      </c>
      <c r="B147" s="9" t="s">
        <v>171</v>
      </c>
      <c r="C147" s="9" t="s">
        <v>11</v>
      </c>
      <c r="D147" s="9" t="s">
        <v>241</v>
      </c>
      <c r="E147" s="9">
        <f t="shared" ca="1" si="5"/>
        <v>6</v>
      </c>
      <c r="F147" s="9" t="s">
        <v>15</v>
      </c>
      <c r="G147" s="9" t="s">
        <v>18</v>
      </c>
      <c r="H147" s="13">
        <v>46171</v>
      </c>
      <c r="I147" s="13">
        <v>46172</v>
      </c>
      <c r="J147" s="13">
        <v>46176</v>
      </c>
      <c r="K147" s="13">
        <v>46178</v>
      </c>
      <c r="L147" s="9" t="s">
        <v>20</v>
      </c>
      <c r="M147" s="14">
        <v>617235</v>
      </c>
      <c r="N147" s="14">
        <v>592546</v>
      </c>
      <c r="O147" s="14" t="s">
        <v>236</v>
      </c>
      <c r="P147" s="9">
        <v>25</v>
      </c>
      <c r="Q147" s="9">
        <v>-24689</v>
      </c>
      <c r="R147" s="15" t="s">
        <v>229</v>
      </c>
    </row>
    <row r="148" spans="1:18" x14ac:dyDescent="0.35">
      <c r="A148" s="12" t="str">
        <f t="shared" si="7"/>
        <v>C147</v>
      </c>
      <c r="B148" s="9" t="s">
        <v>172</v>
      </c>
      <c r="C148" s="9" t="s">
        <v>10</v>
      </c>
      <c r="D148" s="9" t="s">
        <v>241</v>
      </c>
      <c r="E148" s="9">
        <f t="shared" ref="E148:E198" ca="1" si="8">RANDBETWEEN(0,12)</f>
        <v>9</v>
      </c>
      <c r="F148" s="9" t="s">
        <v>13</v>
      </c>
      <c r="G148" s="9" t="s">
        <v>16</v>
      </c>
      <c r="H148" s="13">
        <v>46172</v>
      </c>
      <c r="I148" s="13">
        <v>46175</v>
      </c>
      <c r="J148" s="13" t="s">
        <v>236</v>
      </c>
      <c r="K148" s="13" t="s">
        <v>236</v>
      </c>
      <c r="L148" s="9" t="s">
        <v>223</v>
      </c>
      <c r="M148" s="14">
        <v>764885</v>
      </c>
      <c r="N148" s="14">
        <v>0</v>
      </c>
      <c r="O148" s="14" t="s">
        <v>234</v>
      </c>
      <c r="P148" s="9">
        <v>0</v>
      </c>
      <c r="Q148" s="9">
        <v>0</v>
      </c>
      <c r="R148" s="15" t="s">
        <v>230</v>
      </c>
    </row>
    <row r="149" spans="1:18" x14ac:dyDescent="0.35">
      <c r="A149" s="12" t="str">
        <f t="shared" ref="A149:A180" si="9">"C"&amp;TEXT(ROW()-1,"000")</f>
        <v>C148</v>
      </c>
      <c r="B149" s="9" t="s">
        <v>173</v>
      </c>
      <c r="C149" s="9" t="s">
        <v>10</v>
      </c>
      <c r="D149" s="9" t="s">
        <v>239</v>
      </c>
      <c r="E149" s="9">
        <f t="shared" ca="1" si="8"/>
        <v>3</v>
      </c>
      <c r="F149" s="9" t="s">
        <v>14</v>
      </c>
      <c r="G149" s="9" t="s">
        <v>19</v>
      </c>
      <c r="H149" s="13">
        <v>46173</v>
      </c>
      <c r="I149" s="13">
        <v>46174</v>
      </c>
      <c r="J149" s="13" t="s">
        <v>236</v>
      </c>
      <c r="K149" s="13" t="s">
        <v>236</v>
      </c>
      <c r="L149" s="9" t="s">
        <v>223</v>
      </c>
      <c r="M149" s="14">
        <v>487748</v>
      </c>
      <c r="N149" s="14">
        <v>0</v>
      </c>
      <c r="O149" s="14" t="s">
        <v>234</v>
      </c>
      <c r="P149" s="9">
        <v>0</v>
      </c>
      <c r="Q149" s="9">
        <v>0</v>
      </c>
      <c r="R149" s="15" t="s">
        <v>230</v>
      </c>
    </row>
    <row r="150" spans="1:18" x14ac:dyDescent="0.35">
      <c r="A150" s="12" t="str">
        <f t="shared" si="9"/>
        <v>C149</v>
      </c>
      <c r="B150" s="9" t="s">
        <v>174</v>
      </c>
      <c r="C150" s="9" t="s">
        <v>11</v>
      </c>
      <c r="D150" s="9" t="s">
        <v>239</v>
      </c>
      <c r="E150" s="9">
        <f t="shared" ca="1" si="8"/>
        <v>11</v>
      </c>
      <c r="F150" s="9" t="s">
        <v>14</v>
      </c>
      <c r="G150" s="9" t="s">
        <v>16</v>
      </c>
      <c r="H150" s="13">
        <v>46174</v>
      </c>
      <c r="I150" s="13">
        <v>46176</v>
      </c>
      <c r="J150" s="13">
        <v>46181</v>
      </c>
      <c r="K150" s="13">
        <v>46182</v>
      </c>
      <c r="L150" s="9" t="s">
        <v>20</v>
      </c>
      <c r="M150" s="14">
        <v>545674</v>
      </c>
      <c r="N150" s="14">
        <v>534761</v>
      </c>
      <c r="O150" s="14" t="s">
        <v>236</v>
      </c>
      <c r="P150" s="9">
        <v>22</v>
      </c>
      <c r="Q150" s="9">
        <v>-10913</v>
      </c>
      <c r="R150" s="15" t="s">
        <v>229</v>
      </c>
    </row>
    <row r="151" spans="1:18" x14ac:dyDescent="0.35">
      <c r="A151" s="12" t="str">
        <f t="shared" si="9"/>
        <v>C150</v>
      </c>
      <c r="B151" s="9" t="s">
        <v>175</v>
      </c>
      <c r="C151" s="9" t="s">
        <v>11</v>
      </c>
      <c r="D151" s="9" t="s">
        <v>240</v>
      </c>
      <c r="E151" s="9">
        <f t="shared" ca="1" si="8"/>
        <v>7</v>
      </c>
      <c r="F151" s="9" t="s">
        <v>14</v>
      </c>
      <c r="G151" s="9" t="s">
        <v>18</v>
      </c>
      <c r="H151" s="13">
        <v>46175</v>
      </c>
      <c r="I151" s="13">
        <v>46177</v>
      </c>
      <c r="J151" s="13">
        <v>46180</v>
      </c>
      <c r="K151" s="13" t="s">
        <v>236</v>
      </c>
      <c r="L151" s="9" t="s">
        <v>224</v>
      </c>
      <c r="M151" s="14">
        <v>343332</v>
      </c>
      <c r="N151" s="14">
        <v>0</v>
      </c>
      <c r="O151" s="14" t="s">
        <v>235</v>
      </c>
      <c r="P151" s="9">
        <v>0</v>
      </c>
      <c r="Q151" s="9">
        <v>0</v>
      </c>
      <c r="R151" s="15" t="s">
        <v>232</v>
      </c>
    </row>
    <row r="152" spans="1:18" x14ac:dyDescent="0.35">
      <c r="A152" s="12" t="str">
        <f t="shared" si="9"/>
        <v>C151</v>
      </c>
      <c r="B152" s="9" t="s">
        <v>176</v>
      </c>
      <c r="C152" s="9" t="s">
        <v>10</v>
      </c>
      <c r="D152" s="9" t="s">
        <v>241</v>
      </c>
      <c r="E152" s="9">
        <f t="shared" ca="1" si="8"/>
        <v>5</v>
      </c>
      <c r="F152" s="9" t="s">
        <v>12</v>
      </c>
      <c r="G152" s="9" t="s">
        <v>19</v>
      </c>
      <c r="H152" s="13">
        <v>46176</v>
      </c>
      <c r="I152" s="13">
        <v>46177</v>
      </c>
      <c r="J152" s="13" t="s">
        <v>236</v>
      </c>
      <c r="K152" s="13" t="s">
        <v>236</v>
      </c>
      <c r="L152" s="9" t="s">
        <v>223</v>
      </c>
      <c r="M152" s="14">
        <v>344574</v>
      </c>
      <c r="N152" s="14">
        <v>0</v>
      </c>
      <c r="O152" s="14" t="s">
        <v>234</v>
      </c>
      <c r="P152" s="9">
        <v>0</v>
      </c>
      <c r="Q152" s="9">
        <v>0</v>
      </c>
      <c r="R152" s="15" t="s">
        <v>230</v>
      </c>
    </row>
    <row r="153" spans="1:18" x14ac:dyDescent="0.35">
      <c r="A153" s="12" t="str">
        <f t="shared" si="9"/>
        <v>C152</v>
      </c>
      <c r="B153" s="9" t="s">
        <v>177</v>
      </c>
      <c r="C153" s="9" t="s">
        <v>10</v>
      </c>
      <c r="D153" s="9" t="s">
        <v>241</v>
      </c>
      <c r="E153" s="9">
        <f t="shared" ca="1" si="8"/>
        <v>5</v>
      </c>
      <c r="F153" s="9" t="s">
        <v>12</v>
      </c>
      <c r="G153" s="9" t="s">
        <v>19</v>
      </c>
      <c r="H153" s="13">
        <v>46177</v>
      </c>
      <c r="I153" s="13">
        <v>46179</v>
      </c>
      <c r="J153" s="13">
        <v>46184</v>
      </c>
      <c r="K153" s="13">
        <v>46185</v>
      </c>
      <c r="L153" s="9" t="s">
        <v>21</v>
      </c>
      <c r="M153" s="14">
        <v>544671</v>
      </c>
      <c r="N153" s="14">
        <v>495651</v>
      </c>
      <c r="O153" s="14" t="s">
        <v>22</v>
      </c>
      <c r="P153" s="9">
        <v>0</v>
      </c>
      <c r="Q153" s="9">
        <v>-49020</v>
      </c>
      <c r="R153" s="15" t="s">
        <v>231</v>
      </c>
    </row>
    <row r="154" spans="1:18" x14ac:dyDescent="0.35">
      <c r="A154" s="12" t="str">
        <f t="shared" si="9"/>
        <v>C153</v>
      </c>
      <c r="B154" s="9" t="s">
        <v>178</v>
      </c>
      <c r="C154" s="9" t="s">
        <v>10</v>
      </c>
      <c r="D154" s="9" t="s">
        <v>240</v>
      </c>
      <c r="E154" s="9">
        <f t="shared" ca="1" si="8"/>
        <v>3</v>
      </c>
      <c r="F154" s="9" t="s">
        <v>13</v>
      </c>
      <c r="G154" s="9" t="s">
        <v>19</v>
      </c>
      <c r="H154" s="13">
        <v>46178</v>
      </c>
      <c r="I154" s="13">
        <v>46179</v>
      </c>
      <c r="J154" s="13">
        <v>46184</v>
      </c>
      <c r="K154" s="13">
        <v>46186</v>
      </c>
      <c r="L154" s="9" t="s">
        <v>20</v>
      </c>
      <c r="M154" s="14">
        <v>583124</v>
      </c>
      <c r="N154" s="14">
        <v>571462</v>
      </c>
      <c r="O154" s="14" t="s">
        <v>236</v>
      </c>
      <c r="P154" s="9">
        <v>19</v>
      </c>
      <c r="Q154" s="9">
        <v>-11662</v>
      </c>
      <c r="R154" s="15" t="s">
        <v>229</v>
      </c>
    </row>
    <row r="155" spans="1:18" x14ac:dyDescent="0.35">
      <c r="A155" s="12" t="str">
        <f t="shared" si="9"/>
        <v>C154</v>
      </c>
      <c r="B155" s="9" t="s">
        <v>179</v>
      </c>
      <c r="C155" s="9" t="s">
        <v>11</v>
      </c>
      <c r="D155" s="9" t="s">
        <v>238</v>
      </c>
      <c r="E155" s="9">
        <f t="shared" ca="1" si="8"/>
        <v>1</v>
      </c>
      <c r="F155" s="9" t="s">
        <v>12</v>
      </c>
      <c r="G155" s="9" t="s">
        <v>19</v>
      </c>
      <c r="H155" s="13">
        <v>46179</v>
      </c>
      <c r="I155" s="13">
        <v>46182</v>
      </c>
      <c r="J155" s="13">
        <v>46186</v>
      </c>
      <c r="K155" s="13">
        <v>46189</v>
      </c>
      <c r="L155" s="9" t="s">
        <v>20</v>
      </c>
      <c r="M155" s="14">
        <v>503893</v>
      </c>
      <c r="N155" s="14">
        <v>488776</v>
      </c>
      <c r="O155" s="14" t="s">
        <v>236</v>
      </c>
      <c r="P155" s="9">
        <v>18</v>
      </c>
      <c r="Q155" s="9">
        <v>-15117</v>
      </c>
      <c r="R155" s="15" t="s">
        <v>229</v>
      </c>
    </row>
    <row r="156" spans="1:18" x14ac:dyDescent="0.35">
      <c r="A156" s="12" t="str">
        <f t="shared" si="9"/>
        <v>C155</v>
      </c>
      <c r="B156" s="9" t="s">
        <v>180</v>
      </c>
      <c r="C156" s="9" t="s">
        <v>10</v>
      </c>
      <c r="D156" s="9" t="s">
        <v>241</v>
      </c>
      <c r="E156" s="9">
        <f t="shared" ca="1" si="8"/>
        <v>2</v>
      </c>
      <c r="F156" s="9" t="s">
        <v>13</v>
      </c>
      <c r="G156" s="9" t="s">
        <v>16</v>
      </c>
      <c r="H156" s="13">
        <v>46180</v>
      </c>
      <c r="I156" s="13">
        <v>46182</v>
      </c>
      <c r="J156" s="13">
        <v>46187</v>
      </c>
      <c r="K156" s="13">
        <v>46189</v>
      </c>
      <c r="L156" s="9" t="s">
        <v>21</v>
      </c>
      <c r="M156" s="14">
        <v>1183782</v>
      </c>
      <c r="N156" s="14">
        <v>1171944</v>
      </c>
      <c r="O156" s="14" t="s">
        <v>22</v>
      </c>
      <c r="P156" s="9">
        <v>0</v>
      </c>
      <c r="Q156" s="9">
        <v>-11838</v>
      </c>
      <c r="R156" s="15" t="s">
        <v>231</v>
      </c>
    </row>
    <row r="157" spans="1:18" x14ac:dyDescent="0.35">
      <c r="A157" s="12" t="str">
        <f t="shared" si="9"/>
        <v>C156</v>
      </c>
      <c r="B157" s="9" t="s">
        <v>181</v>
      </c>
      <c r="C157" s="9" t="s">
        <v>11</v>
      </c>
      <c r="D157" s="9" t="s">
        <v>239</v>
      </c>
      <c r="E157" s="9">
        <f t="shared" ca="1" si="8"/>
        <v>7</v>
      </c>
      <c r="F157" s="9" t="s">
        <v>13</v>
      </c>
      <c r="G157" s="9" t="s">
        <v>18</v>
      </c>
      <c r="H157" s="13">
        <v>46181</v>
      </c>
      <c r="I157" s="13">
        <v>46182</v>
      </c>
      <c r="J157" s="13">
        <v>46184</v>
      </c>
      <c r="K157" s="13" t="s">
        <v>236</v>
      </c>
      <c r="L157" s="9" t="s">
        <v>224</v>
      </c>
      <c r="M157" s="14">
        <v>1119004</v>
      </c>
      <c r="N157" s="14">
        <v>0</v>
      </c>
      <c r="O157" s="14" t="s">
        <v>235</v>
      </c>
      <c r="P157" s="9">
        <v>0</v>
      </c>
      <c r="Q157" s="9">
        <v>0</v>
      </c>
      <c r="R157" s="15" t="s">
        <v>232</v>
      </c>
    </row>
    <row r="158" spans="1:18" x14ac:dyDescent="0.35">
      <c r="A158" s="12" t="str">
        <f t="shared" si="9"/>
        <v>C157</v>
      </c>
      <c r="B158" s="9" t="s">
        <v>182</v>
      </c>
      <c r="C158" s="9" t="s">
        <v>11</v>
      </c>
      <c r="D158" s="9" t="s">
        <v>239</v>
      </c>
      <c r="E158" s="9">
        <f t="shared" ca="1" si="8"/>
        <v>1</v>
      </c>
      <c r="F158" s="9" t="s">
        <v>12</v>
      </c>
      <c r="G158" s="9" t="s">
        <v>17</v>
      </c>
      <c r="H158" s="13">
        <v>46182</v>
      </c>
      <c r="I158" s="13">
        <v>46183</v>
      </c>
      <c r="J158" s="13">
        <v>46186</v>
      </c>
      <c r="K158" s="13">
        <v>46188</v>
      </c>
      <c r="L158" s="9" t="s">
        <v>20</v>
      </c>
      <c r="M158" s="14">
        <v>562905</v>
      </c>
      <c r="N158" s="14">
        <v>517873</v>
      </c>
      <c r="O158" s="14" t="s">
        <v>236</v>
      </c>
      <c r="P158" s="9">
        <v>16</v>
      </c>
      <c r="Q158" s="9">
        <v>-45032</v>
      </c>
      <c r="R158" s="15" t="s">
        <v>229</v>
      </c>
    </row>
    <row r="159" spans="1:18" x14ac:dyDescent="0.35">
      <c r="A159" s="12" t="str">
        <f t="shared" si="9"/>
        <v>C158</v>
      </c>
      <c r="B159" s="9" t="s">
        <v>183</v>
      </c>
      <c r="C159" s="9" t="s">
        <v>11</v>
      </c>
      <c r="D159" s="9" t="s">
        <v>242</v>
      </c>
      <c r="E159" s="9">
        <f t="shared" ca="1" si="8"/>
        <v>7</v>
      </c>
      <c r="F159" s="9" t="s">
        <v>15</v>
      </c>
      <c r="G159" s="9" t="s">
        <v>16</v>
      </c>
      <c r="H159" s="13">
        <v>46183</v>
      </c>
      <c r="I159" s="13">
        <v>46186</v>
      </c>
      <c r="J159" s="13">
        <v>46189</v>
      </c>
      <c r="K159" s="13">
        <v>46191</v>
      </c>
      <c r="L159" s="9" t="s">
        <v>20</v>
      </c>
      <c r="M159" s="14">
        <v>406150</v>
      </c>
      <c r="N159" s="14">
        <v>377720</v>
      </c>
      <c r="O159" s="14" t="s">
        <v>236</v>
      </c>
      <c r="P159" s="9">
        <v>23</v>
      </c>
      <c r="Q159" s="9">
        <v>-28430</v>
      </c>
      <c r="R159" s="15" t="s">
        <v>229</v>
      </c>
    </row>
    <row r="160" spans="1:18" x14ac:dyDescent="0.35">
      <c r="A160" s="12" t="str">
        <f t="shared" si="9"/>
        <v>C159</v>
      </c>
      <c r="B160" s="9" t="s">
        <v>184</v>
      </c>
      <c r="C160" s="9" t="s">
        <v>11</v>
      </c>
      <c r="D160" s="9" t="s">
        <v>239</v>
      </c>
      <c r="E160" s="9">
        <f t="shared" ca="1" si="8"/>
        <v>4</v>
      </c>
      <c r="F160" s="9" t="s">
        <v>12</v>
      </c>
      <c r="G160" s="9" t="s">
        <v>19</v>
      </c>
      <c r="H160" s="13">
        <v>46184</v>
      </c>
      <c r="I160" s="13">
        <v>46186</v>
      </c>
      <c r="J160" s="13">
        <v>46191</v>
      </c>
      <c r="K160" s="13">
        <v>46194</v>
      </c>
      <c r="L160" s="9" t="s">
        <v>21</v>
      </c>
      <c r="M160" s="14">
        <v>393506</v>
      </c>
      <c r="N160" s="14">
        <v>393506</v>
      </c>
      <c r="O160" s="14" t="s">
        <v>22</v>
      </c>
      <c r="P160" s="9">
        <v>0</v>
      </c>
      <c r="Q160" s="9">
        <v>0</v>
      </c>
      <c r="R160" s="15" t="s">
        <v>231</v>
      </c>
    </row>
    <row r="161" spans="1:18" x14ac:dyDescent="0.35">
      <c r="A161" s="12" t="str">
        <f t="shared" si="9"/>
        <v>C160</v>
      </c>
      <c r="B161" s="9" t="s">
        <v>185</v>
      </c>
      <c r="C161" s="9" t="s">
        <v>10</v>
      </c>
      <c r="D161" s="9" t="s">
        <v>240</v>
      </c>
      <c r="E161" s="9">
        <f t="shared" ca="1" si="8"/>
        <v>4</v>
      </c>
      <c r="F161" s="9" t="s">
        <v>12</v>
      </c>
      <c r="G161" s="9" t="s">
        <v>18</v>
      </c>
      <c r="H161" s="13">
        <v>46185</v>
      </c>
      <c r="I161" s="13">
        <v>46188</v>
      </c>
      <c r="J161" s="13">
        <v>46191</v>
      </c>
      <c r="K161" s="13" t="s">
        <v>236</v>
      </c>
      <c r="L161" s="9" t="s">
        <v>224</v>
      </c>
      <c r="M161" s="14">
        <v>560701</v>
      </c>
      <c r="N161" s="14">
        <v>0</v>
      </c>
      <c r="O161" s="14" t="s">
        <v>235</v>
      </c>
      <c r="P161" s="9">
        <v>0</v>
      </c>
      <c r="Q161" s="9">
        <v>0</v>
      </c>
      <c r="R161" s="15" t="s">
        <v>232</v>
      </c>
    </row>
    <row r="162" spans="1:18" x14ac:dyDescent="0.35">
      <c r="A162" s="12" t="str">
        <f t="shared" si="9"/>
        <v>C161</v>
      </c>
      <c r="B162" s="9" t="s">
        <v>186</v>
      </c>
      <c r="C162" s="9" t="s">
        <v>10</v>
      </c>
      <c r="D162" s="9" t="s">
        <v>239</v>
      </c>
      <c r="E162" s="9">
        <f t="shared" ca="1" si="8"/>
        <v>10</v>
      </c>
      <c r="F162" s="9" t="s">
        <v>15</v>
      </c>
      <c r="G162" s="9" t="s">
        <v>16</v>
      </c>
      <c r="H162" s="13">
        <v>46186</v>
      </c>
      <c r="I162" s="13">
        <v>46188</v>
      </c>
      <c r="J162" s="13" t="s">
        <v>236</v>
      </c>
      <c r="K162" s="13" t="s">
        <v>236</v>
      </c>
      <c r="L162" s="9" t="s">
        <v>223</v>
      </c>
      <c r="M162" s="14">
        <v>395980</v>
      </c>
      <c r="N162" s="14">
        <v>0</v>
      </c>
      <c r="O162" s="14" t="s">
        <v>234</v>
      </c>
      <c r="P162" s="9">
        <v>0</v>
      </c>
      <c r="Q162" s="9">
        <v>0</v>
      </c>
      <c r="R162" s="15" t="s">
        <v>230</v>
      </c>
    </row>
    <row r="163" spans="1:18" x14ac:dyDescent="0.35">
      <c r="A163" s="12" t="str">
        <f t="shared" si="9"/>
        <v>C162</v>
      </c>
      <c r="B163" s="9" t="s">
        <v>187</v>
      </c>
      <c r="C163" s="9" t="s">
        <v>11</v>
      </c>
      <c r="D163" s="9" t="s">
        <v>239</v>
      </c>
      <c r="E163" s="9">
        <f t="shared" ca="1" si="8"/>
        <v>7</v>
      </c>
      <c r="F163" s="9" t="s">
        <v>12</v>
      </c>
      <c r="G163" s="9" t="s">
        <v>16</v>
      </c>
      <c r="H163" s="13">
        <v>46187</v>
      </c>
      <c r="I163" s="13">
        <v>46188</v>
      </c>
      <c r="J163" s="13">
        <v>46190</v>
      </c>
      <c r="K163" s="13" t="s">
        <v>236</v>
      </c>
      <c r="L163" s="9" t="s">
        <v>224</v>
      </c>
      <c r="M163" s="14">
        <v>452346</v>
      </c>
      <c r="N163" s="14">
        <v>0</v>
      </c>
      <c r="O163" s="14" t="s">
        <v>235</v>
      </c>
      <c r="P163" s="9">
        <v>0</v>
      </c>
      <c r="Q163" s="9">
        <v>0</v>
      </c>
      <c r="R163" s="15" t="s">
        <v>232</v>
      </c>
    </row>
    <row r="164" spans="1:18" x14ac:dyDescent="0.35">
      <c r="A164" s="12" t="str">
        <f t="shared" si="9"/>
        <v>C163</v>
      </c>
      <c r="B164" s="9" t="s">
        <v>188</v>
      </c>
      <c r="C164" s="9" t="s">
        <v>10</v>
      </c>
      <c r="D164" s="9" t="s">
        <v>241</v>
      </c>
      <c r="E164" s="9">
        <f t="shared" ca="1" si="8"/>
        <v>12</v>
      </c>
      <c r="F164" s="9" t="s">
        <v>14</v>
      </c>
      <c r="G164" s="9" t="s">
        <v>17</v>
      </c>
      <c r="H164" s="13">
        <v>46188</v>
      </c>
      <c r="I164" s="13">
        <v>46189</v>
      </c>
      <c r="J164" s="13">
        <v>46191</v>
      </c>
      <c r="K164" s="13">
        <v>46193</v>
      </c>
      <c r="L164" s="9" t="s">
        <v>21</v>
      </c>
      <c r="M164" s="14">
        <v>573623</v>
      </c>
      <c r="N164" s="14">
        <v>521997</v>
      </c>
      <c r="O164" s="14" t="s">
        <v>22</v>
      </c>
      <c r="P164" s="9">
        <v>0</v>
      </c>
      <c r="Q164" s="9">
        <v>-51626</v>
      </c>
      <c r="R164" s="15" t="s">
        <v>231</v>
      </c>
    </row>
    <row r="165" spans="1:18" x14ac:dyDescent="0.35">
      <c r="A165" s="12" t="str">
        <f t="shared" si="9"/>
        <v>C164</v>
      </c>
      <c r="B165" s="9" t="s">
        <v>189</v>
      </c>
      <c r="C165" s="9" t="s">
        <v>11</v>
      </c>
      <c r="D165" s="9" t="s">
        <v>241</v>
      </c>
      <c r="E165" s="9">
        <f t="shared" ca="1" si="8"/>
        <v>4</v>
      </c>
      <c r="F165" s="9" t="s">
        <v>14</v>
      </c>
      <c r="G165" s="9" t="s">
        <v>16</v>
      </c>
      <c r="H165" s="13">
        <v>46189</v>
      </c>
      <c r="I165" s="13">
        <v>46191</v>
      </c>
      <c r="J165" s="13" t="s">
        <v>236</v>
      </c>
      <c r="K165" s="13" t="s">
        <v>236</v>
      </c>
      <c r="L165" s="9" t="s">
        <v>223</v>
      </c>
      <c r="M165" s="14">
        <v>424961</v>
      </c>
      <c r="N165" s="14">
        <v>0</v>
      </c>
      <c r="O165" s="14" t="s">
        <v>234</v>
      </c>
      <c r="P165" s="9">
        <v>0</v>
      </c>
      <c r="Q165" s="9">
        <v>0</v>
      </c>
      <c r="R165" s="15" t="s">
        <v>230</v>
      </c>
    </row>
    <row r="166" spans="1:18" x14ac:dyDescent="0.35">
      <c r="A166" s="12" t="str">
        <f t="shared" si="9"/>
        <v>C165</v>
      </c>
      <c r="B166" s="9" t="s">
        <v>190</v>
      </c>
      <c r="C166" s="9" t="s">
        <v>10</v>
      </c>
      <c r="D166" s="9" t="s">
        <v>242</v>
      </c>
      <c r="E166" s="9">
        <f t="shared" ca="1" si="8"/>
        <v>9</v>
      </c>
      <c r="F166" s="9" t="s">
        <v>12</v>
      </c>
      <c r="G166" s="9" t="s">
        <v>17</v>
      </c>
      <c r="H166" s="13">
        <v>46190</v>
      </c>
      <c r="I166" s="13">
        <v>46193</v>
      </c>
      <c r="J166" s="13">
        <v>46196</v>
      </c>
      <c r="K166" s="13">
        <v>46199</v>
      </c>
      <c r="L166" s="9" t="s">
        <v>21</v>
      </c>
      <c r="M166" s="14">
        <v>310569</v>
      </c>
      <c r="N166" s="14">
        <v>304358</v>
      </c>
      <c r="O166" s="14" t="s">
        <v>22</v>
      </c>
      <c r="P166" s="9">
        <v>0</v>
      </c>
      <c r="Q166" s="9">
        <v>-6211</v>
      </c>
      <c r="R166" s="15" t="s">
        <v>231</v>
      </c>
    </row>
    <row r="167" spans="1:18" x14ac:dyDescent="0.35">
      <c r="A167" s="12" t="str">
        <f t="shared" si="9"/>
        <v>C166</v>
      </c>
      <c r="B167" s="9" t="s">
        <v>191</v>
      </c>
      <c r="C167" s="9" t="s">
        <v>11</v>
      </c>
      <c r="D167" s="9" t="s">
        <v>241</v>
      </c>
      <c r="E167" s="9">
        <f t="shared" ca="1" si="8"/>
        <v>10</v>
      </c>
      <c r="F167" s="9" t="s">
        <v>12</v>
      </c>
      <c r="G167" s="9" t="s">
        <v>17</v>
      </c>
      <c r="H167" s="13">
        <v>46191</v>
      </c>
      <c r="I167" s="13">
        <v>46192</v>
      </c>
      <c r="J167" s="13">
        <v>46194</v>
      </c>
      <c r="K167" s="13">
        <v>46196</v>
      </c>
      <c r="L167" s="9" t="s">
        <v>20</v>
      </c>
      <c r="M167" s="14">
        <v>572802</v>
      </c>
      <c r="N167" s="14">
        <v>567074</v>
      </c>
      <c r="O167" s="14" t="s">
        <v>236</v>
      </c>
      <c r="P167" s="9">
        <v>14</v>
      </c>
      <c r="Q167" s="9">
        <v>-5728</v>
      </c>
      <c r="R167" s="15" t="s">
        <v>229</v>
      </c>
    </row>
    <row r="168" spans="1:18" x14ac:dyDescent="0.35">
      <c r="A168" s="12" t="str">
        <f t="shared" si="9"/>
        <v>C167</v>
      </c>
      <c r="B168" s="9" t="s">
        <v>192</v>
      </c>
      <c r="C168" s="9" t="s">
        <v>10</v>
      </c>
      <c r="D168" s="9" t="s">
        <v>242</v>
      </c>
      <c r="E168" s="9">
        <f t="shared" ca="1" si="8"/>
        <v>5</v>
      </c>
      <c r="F168" s="9" t="s">
        <v>15</v>
      </c>
      <c r="G168" s="9" t="s">
        <v>16</v>
      </c>
      <c r="H168" s="13">
        <v>46192</v>
      </c>
      <c r="I168" s="13">
        <v>46195</v>
      </c>
      <c r="J168" s="13">
        <v>46198</v>
      </c>
      <c r="K168" s="13">
        <v>46199</v>
      </c>
      <c r="L168" s="9" t="s">
        <v>20</v>
      </c>
      <c r="M168" s="14">
        <v>641902</v>
      </c>
      <c r="N168" s="14">
        <v>603388</v>
      </c>
      <c r="O168" s="14" t="s">
        <v>236</v>
      </c>
      <c r="P168" s="9">
        <v>23</v>
      </c>
      <c r="Q168" s="9">
        <v>-38514</v>
      </c>
      <c r="R168" s="15" t="s">
        <v>229</v>
      </c>
    </row>
    <row r="169" spans="1:18" x14ac:dyDescent="0.35">
      <c r="A169" s="12" t="str">
        <f t="shared" si="9"/>
        <v>C168</v>
      </c>
      <c r="B169" s="9" t="s">
        <v>193</v>
      </c>
      <c r="C169" s="9" t="s">
        <v>10</v>
      </c>
      <c r="D169" s="9" t="s">
        <v>238</v>
      </c>
      <c r="E169" s="9">
        <f t="shared" ca="1" si="8"/>
        <v>3</v>
      </c>
      <c r="F169" s="9" t="s">
        <v>15</v>
      </c>
      <c r="G169" s="9" t="s">
        <v>17</v>
      </c>
      <c r="H169" s="13">
        <v>46193</v>
      </c>
      <c r="I169" s="13">
        <v>46194</v>
      </c>
      <c r="J169" s="13" t="s">
        <v>236</v>
      </c>
      <c r="K169" s="13" t="s">
        <v>236</v>
      </c>
      <c r="L169" s="9" t="s">
        <v>223</v>
      </c>
      <c r="M169" s="14">
        <v>639323</v>
      </c>
      <c r="N169" s="14">
        <v>0</v>
      </c>
      <c r="O169" s="14" t="s">
        <v>234</v>
      </c>
      <c r="P169" s="9">
        <v>0</v>
      </c>
      <c r="Q169" s="9">
        <v>0</v>
      </c>
      <c r="R169" s="15" t="s">
        <v>230</v>
      </c>
    </row>
    <row r="170" spans="1:18" x14ac:dyDescent="0.35">
      <c r="A170" s="12" t="str">
        <f t="shared" si="9"/>
        <v>C169</v>
      </c>
      <c r="B170" s="9" t="s">
        <v>194</v>
      </c>
      <c r="C170" s="9" t="s">
        <v>11</v>
      </c>
      <c r="D170" s="9" t="s">
        <v>238</v>
      </c>
      <c r="E170" s="9">
        <f t="shared" ca="1" si="8"/>
        <v>7</v>
      </c>
      <c r="F170" s="9" t="s">
        <v>15</v>
      </c>
      <c r="G170" s="9" t="s">
        <v>16</v>
      </c>
      <c r="H170" s="13">
        <v>46194</v>
      </c>
      <c r="I170" s="13">
        <v>46195</v>
      </c>
      <c r="J170" s="13">
        <v>46197</v>
      </c>
      <c r="K170" s="13" t="s">
        <v>236</v>
      </c>
      <c r="L170" s="9" t="s">
        <v>224</v>
      </c>
      <c r="M170" s="14">
        <v>526794</v>
      </c>
      <c r="N170" s="14">
        <v>0</v>
      </c>
      <c r="O170" s="14" t="s">
        <v>235</v>
      </c>
      <c r="P170" s="9">
        <v>0</v>
      </c>
      <c r="Q170" s="9">
        <v>0</v>
      </c>
      <c r="R170" s="15" t="s">
        <v>232</v>
      </c>
    </row>
    <row r="171" spans="1:18" x14ac:dyDescent="0.35">
      <c r="A171" s="12" t="str">
        <f t="shared" si="9"/>
        <v>C170</v>
      </c>
      <c r="B171" s="9" t="s">
        <v>195</v>
      </c>
      <c r="C171" s="9" t="s">
        <v>10</v>
      </c>
      <c r="D171" s="9" t="s">
        <v>242</v>
      </c>
      <c r="E171" s="9">
        <f t="shared" ca="1" si="8"/>
        <v>3</v>
      </c>
      <c r="F171" s="9" t="s">
        <v>13</v>
      </c>
      <c r="G171" s="9" t="s">
        <v>17</v>
      </c>
      <c r="H171" s="13">
        <v>46195</v>
      </c>
      <c r="I171" s="13">
        <v>46196</v>
      </c>
      <c r="J171" s="13">
        <v>46201</v>
      </c>
      <c r="K171" s="13" t="s">
        <v>236</v>
      </c>
      <c r="L171" s="9" t="s">
        <v>224</v>
      </c>
      <c r="M171" s="14">
        <v>947445</v>
      </c>
      <c r="N171" s="14">
        <v>0</v>
      </c>
      <c r="O171" s="14" t="s">
        <v>235</v>
      </c>
      <c r="P171" s="9">
        <v>0</v>
      </c>
      <c r="Q171" s="9">
        <v>0</v>
      </c>
      <c r="R171" s="15" t="s">
        <v>232</v>
      </c>
    </row>
    <row r="172" spans="1:18" x14ac:dyDescent="0.35">
      <c r="A172" s="12" t="str">
        <f t="shared" si="9"/>
        <v>C171</v>
      </c>
      <c r="B172" s="9" t="s">
        <v>196</v>
      </c>
      <c r="C172" s="9" t="s">
        <v>11</v>
      </c>
      <c r="D172" s="9" t="s">
        <v>239</v>
      </c>
      <c r="E172" s="9">
        <f t="shared" ca="1" si="8"/>
        <v>2</v>
      </c>
      <c r="F172" s="9" t="s">
        <v>14</v>
      </c>
      <c r="G172" s="9" t="s">
        <v>18</v>
      </c>
      <c r="H172" s="13">
        <v>46196</v>
      </c>
      <c r="I172" s="13">
        <v>46197</v>
      </c>
      <c r="J172" s="13">
        <v>46199</v>
      </c>
      <c r="K172" s="13">
        <v>46201</v>
      </c>
      <c r="L172" s="9" t="s">
        <v>21</v>
      </c>
      <c r="M172" s="14">
        <v>323092</v>
      </c>
      <c r="N172" s="14">
        <v>319861</v>
      </c>
      <c r="O172" s="14" t="s">
        <v>22</v>
      </c>
      <c r="P172" s="9">
        <v>0</v>
      </c>
      <c r="Q172" s="9">
        <v>-3231</v>
      </c>
      <c r="R172" s="15" t="s">
        <v>231</v>
      </c>
    </row>
    <row r="173" spans="1:18" x14ac:dyDescent="0.35">
      <c r="A173" s="12" t="str">
        <f t="shared" si="9"/>
        <v>C172</v>
      </c>
      <c r="B173" s="9" t="s">
        <v>197</v>
      </c>
      <c r="C173" s="9" t="s">
        <v>11</v>
      </c>
      <c r="D173" s="9" t="s">
        <v>241</v>
      </c>
      <c r="E173" s="9">
        <f t="shared" ca="1" si="8"/>
        <v>9</v>
      </c>
      <c r="F173" s="9" t="s">
        <v>13</v>
      </c>
      <c r="G173" s="9" t="s">
        <v>19</v>
      </c>
      <c r="H173" s="13">
        <v>46197</v>
      </c>
      <c r="I173" s="13">
        <v>46198</v>
      </c>
      <c r="J173" s="13" t="s">
        <v>236</v>
      </c>
      <c r="K173" s="13" t="s">
        <v>236</v>
      </c>
      <c r="L173" s="9" t="s">
        <v>223</v>
      </c>
      <c r="M173" s="14">
        <v>1125496</v>
      </c>
      <c r="N173" s="14">
        <v>0</v>
      </c>
      <c r="O173" s="14" t="s">
        <v>234</v>
      </c>
      <c r="P173" s="9">
        <v>0</v>
      </c>
      <c r="Q173" s="9">
        <v>0</v>
      </c>
      <c r="R173" s="15" t="s">
        <v>230</v>
      </c>
    </row>
    <row r="174" spans="1:18" x14ac:dyDescent="0.35">
      <c r="A174" s="12" t="str">
        <f t="shared" si="9"/>
        <v>C173</v>
      </c>
      <c r="B174" s="9" t="s">
        <v>198</v>
      </c>
      <c r="C174" s="9" t="s">
        <v>11</v>
      </c>
      <c r="D174" s="9" t="s">
        <v>242</v>
      </c>
      <c r="E174" s="9">
        <f t="shared" ca="1" si="8"/>
        <v>7</v>
      </c>
      <c r="F174" s="9" t="s">
        <v>14</v>
      </c>
      <c r="G174" s="9" t="s">
        <v>18</v>
      </c>
      <c r="H174" s="13">
        <v>46198</v>
      </c>
      <c r="I174" s="13">
        <v>46201</v>
      </c>
      <c r="J174" s="13">
        <v>46204</v>
      </c>
      <c r="K174" s="13">
        <v>46206</v>
      </c>
      <c r="L174" s="9" t="s">
        <v>20</v>
      </c>
      <c r="M174" s="14">
        <v>552082</v>
      </c>
      <c r="N174" s="14">
        <v>507915</v>
      </c>
      <c r="O174" s="14" t="s">
        <v>236</v>
      </c>
      <c r="P174" s="9">
        <v>17</v>
      </c>
      <c r="Q174" s="9">
        <v>-44167</v>
      </c>
      <c r="R174" s="15" t="s">
        <v>229</v>
      </c>
    </row>
    <row r="175" spans="1:18" x14ac:dyDescent="0.35">
      <c r="A175" s="12" t="str">
        <f t="shared" si="9"/>
        <v>C174</v>
      </c>
      <c r="B175" s="9" t="s">
        <v>199</v>
      </c>
      <c r="C175" s="9" t="s">
        <v>11</v>
      </c>
      <c r="D175" s="9" t="s">
        <v>240</v>
      </c>
      <c r="E175" s="9">
        <f t="shared" ca="1" si="8"/>
        <v>7</v>
      </c>
      <c r="F175" s="9" t="s">
        <v>15</v>
      </c>
      <c r="G175" s="9" t="s">
        <v>19</v>
      </c>
      <c r="H175" s="13">
        <v>46199</v>
      </c>
      <c r="I175" s="13">
        <v>46200</v>
      </c>
      <c r="J175" s="13">
        <v>46203</v>
      </c>
      <c r="K175" s="13" t="s">
        <v>236</v>
      </c>
      <c r="L175" s="9" t="s">
        <v>224</v>
      </c>
      <c r="M175" s="14">
        <v>528049</v>
      </c>
      <c r="N175" s="14">
        <v>0</v>
      </c>
      <c r="O175" s="14" t="s">
        <v>235</v>
      </c>
      <c r="P175" s="9">
        <v>0</v>
      </c>
      <c r="Q175" s="9">
        <v>0</v>
      </c>
      <c r="R175" s="15" t="s">
        <v>232</v>
      </c>
    </row>
    <row r="176" spans="1:18" x14ac:dyDescent="0.35">
      <c r="A176" s="12" t="str">
        <f t="shared" si="9"/>
        <v>C175</v>
      </c>
      <c r="B176" s="9" t="s">
        <v>200</v>
      </c>
      <c r="C176" s="9" t="s">
        <v>11</v>
      </c>
      <c r="D176" s="9" t="s">
        <v>238</v>
      </c>
      <c r="E176" s="9">
        <f t="shared" ca="1" si="8"/>
        <v>9</v>
      </c>
      <c r="F176" s="9" t="s">
        <v>14</v>
      </c>
      <c r="G176" s="9" t="s">
        <v>17</v>
      </c>
      <c r="H176" s="13">
        <v>46200</v>
      </c>
      <c r="I176" s="13">
        <v>46202</v>
      </c>
      <c r="J176" s="13">
        <v>46205</v>
      </c>
      <c r="K176" s="13">
        <v>46208</v>
      </c>
      <c r="L176" s="9" t="s">
        <v>21</v>
      </c>
      <c r="M176" s="14">
        <v>512740</v>
      </c>
      <c r="N176" s="14">
        <v>492230</v>
      </c>
      <c r="O176" s="14" t="s">
        <v>22</v>
      </c>
      <c r="P176" s="9">
        <v>0</v>
      </c>
      <c r="Q176" s="9">
        <v>-20510</v>
      </c>
      <c r="R176" s="15" t="s">
        <v>231</v>
      </c>
    </row>
    <row r="177" spans="1:18" x14ac:dyDescent="0.35">
      <c r="A177" s="12" t="str">
        <f t="shared" si="9"/>
        <v>C176</v>
      </c>
      <c r="B177" s="9" t="s">
        <v>201</v>
      </c>
      <c r="C177" s="9" t="s">
        <v>11</v>
      </c>
      <c r="D177" s="9" t="s">
        <v>239</v>
      </c>
      <c r="E177" s="9">
        <f t="shared" ca="1" si="8"/>
        <v>2</v>
      </c>
      <c r="F177" s="9" t="s">
        <v>14</v>
      </c>
      <c r="G177" s="9" t="s">
        <v>17</v>
      </c>
      <c r="H177" s="13">
        <v>46201</v>
      </c>
      <c r="I177" s="13">
        <v>46204</v>
      </c>
      <c r="J177" s="13">
        <v>46209</v>
      </c>
      <c r="K177" s="13" t="s">
        <v>236</v>
      </c>
      <c r="L177" s="9" t="s">
        <v>224</v>
      </c>
      <c r="M177" s="14">
        <v>536329</v>
      </c>
      <c r="N177" s="14">
        <v>0</v>
      </c>
      <c r="O177" s="14" t="s">
        <v>235</v>
      </c>
      <c r="P177" s="9">
        <v>0</v>
      </c>
      <c r="Q177" s="9">
        <v>0</v>
      </c>
      <c r="R177" s="15" t="s">
        <v>232</v>
      </c>
    </row>
    <row r="178" spans="1:18" x14ac:dyDescent="0.35">
      <c r="A178" s="12" t="str">
        <f t="shared" si="9"/>
        <v>C177</v>
      </c>
      <c r="B178" s="9" t="s">
        <v>202</v>
      </c>
      <c r="C178" s="9" t="s">
        <v>11</v>
      </c>
      <c r="D178" s="9" t="s">
        <v>242</v>
      </c>
      <c r="E178" s="9">
        <f t="shared" ca="1" si="8"/>
        <v>9</v>
      </c>
      <c r="F178" s="9" t="s">
        <v>13</v>
      </c>
      <c r="G178" s="9" t="s">
        <v>17</v>
      </c>
      <c r="H178" s="13">
        <v>46202</v>
      </c>
      <c r="I178" s="13">
        <v>46203</v>
      </c>
      <c r="J178" s="13" t="s">
        <v>236</v>
      </c>
      <c r="K178" s="13" t="s">
        <v>236</v>
      </c>
      <c r="L178" s="9" t="s">
        <v>223</v>
      </c>
      <c r="M178" s="14">
        <v>1037984</v>
      </c>
      <c r="N178" s="14">
        <v>0</v>
      </c>
      <c r="O178" s="14" t="s">
        <v>234</v>
      </c>
      <c r="P178" s="9">
        <v>0</v>
      </c>
      <c r="Q178" s="9">
        <v>0</v>
      </c>
      <c r="R178" s="15" t="s">
        <v>230</v>
      </c>
    </row>
    <row r="179" spans="1:18" x14ac:dyDescent="0.35">
      <c r="A179" s="12" t="str">
        <f t="shared" si="9"/>
        <v>C178</v>
      </c>
      <c r="B179" s="9" t="s">
        <v>203</v>
      </c>
      <c r="C179" s="9" t="s">
        <v>11</v>
      </c>
      <c r="D179" s="9" t="s">
        <v>240</v>
      </c>
      <c r="E179" s="9">
        <f t="shared" ca="1" si="8"/>
        <v>9</v>
      </c>
      <c r="F179" s="9" t="s">
        <v>14</v>
      </c>
      <c r="G179" s="9" t="s">
        <v>16</v>
      </c>
      <c r="H179" s="13">
        <v>46203</v>
      </c>
      <c r="I179" s="13">
        <v>46204</v>
      </c>
      <c r="J179" s="13">
        <v>46209</v>
      </c>
      <c r="K179" s="13">
        <v>46211</v>
      </c>
      <c r="L179" s="9" t="s">
        <v>21</v>
      </c>
      <c r="M179" s="14">
        <v>581244</v>
      </c>
      <c r="N179" s="14">
        <v>581244</v>
      </c>
      <c r="O179" s="14" t="s">
        <v>22</v>
      </c>
      <c r="P179" s="9">
        <v>0</v>
      </c>
      <c r="Q179" s="9">
        <v>0</v>
      </c>
      <c r="R179" s="15" t="s">
        <v>231</v>
      </c>
    </row>
    <row r="180" spans="1:18" x14ac:dyDescent="0.35">
      <c r="A180" s="12" t="str">
        <f t="shared" si="9"/>
        <v>C179</v>
      </c>
      <c r="B180" s="9" t="s">
        <v>204</v>
      </c>
      <c r="C180" s="9" t="s">
        <v>10</v>
      </c>
      <c r="D180" s="9" t="s">
        <v>241</v>
      </c>
      <c r="E180" s="9">
        <f t="shared" ca="1" si="8"/>
        <v>2</v>
      </c>
      <c r="F180" s="9" t="s">
        <v>14</v>
      </c>
      <c r="G180" s="9" t="s">
        <v>18</v>
      </c>
      <c r="H180" s="13">
        <v>46204</v>
      </c>
      <c r="I180" s="13">
        <v>46206</v>
      </c>
      <c r="J180" s="13" t="s">
        <v>236</v>
      </c>
      <c r="K180" s="13" t="s">
        <v>236</v>
      </c>
      <c r="L180" s="9" t="s">
        <v>223</v>
      </c>
      <c r="M180" s="14">
        <v>402987</v>
      </c>
      <c r="N180" s="14">
        <v>0</v>
      </c>
      <c r="O180" s="14" t="s">
        <v>234</v>
      </c>
      <c r="P180" s="9">
        <v>0</v>
      </c>
      <c r="Q180" s="9">
        <v>0</v>
      </c>
      <c r="R180" s="15" t="s">
        <v>230</v>
      </c>
    </row>
    <row r="181" spans="1:18" x14ac:dyDescent="0.35">
      <c r="A181" s="12" t="str">
        <f t="shared" ref="A181:A198" si="10">"C"&amp;TEXT(ROW()-1,"000")</f>
        <v>C180</v>
      </c>
      <c r="B181" s="9" t="s">
        <v>205</v>
      </c>
      <c r="C181" s="9" t="s">
        <v>10</v>
      </c>
      <c r="D181" s="9" t="s">
        <v>240</v>
      </c>
      <c r="E181" s="9">
        <f t="shared" ca="1" si="8"/>
        <v>1</v>
      </c>
      <c r="F181" s="9" t="s">
        <v>14</v>
      </c>
      <c r="G181" s="9" t="s">
        <v>18</v>
      </c>
      <c r="H181" s="13">
        <v>46205</v>
      </c>
      <c r="I181" s="13">
        <v>46206</v>
      </c>
      <c r="J181" s="13" t="s">
        <v>236</v>
      </c>
      <c r="K181" s="13" t="s">
        <v>236</v>
      </c>
      <c r="L181" s="9" t="s">
        <v>223</v>
      </c>
      <c r="M181" s="14">
        <v>554505</v>
      </c>
      <c r="N181" s="14">
        <v>0</v>
      </c>
      <c r="O181" s="14" t="s">
        <v>234</v>
      </c>
      <c r="P181" s="9">
        <v>0</v>
      </c>
      <c r="Q181" s="9">
        <v>0</v>
      </c>
      <c r="R181" s="15" t="s">
        <v>230</v>
      </c>
    </row>
    <row r="182" spans="1:18" x14ac:dyDescent="0.35">
      <c r="A182" s="12" t="str">
        <f t="shared" si="10"/>
        <v>C181</v>
      </c>
      <c r="B182" s="9" t="s">
        <v>206</v>
      </c>
      <c r="C182" s="9" t="s">
        <v>11</v>
      </c>
      <c r="D182" s="9" t="s">
        <v>240</v>
      </c>
      <c r="E182" s="9">
        <f t="shared" ca="1" si="8"/>
        <v>2</v>
      </c>
      <c r="F182" s="9" t="s">
        <v>14</v>
      </c>
      <c r="G182" s="9" t="s">
        <v>18</v>
      </c>
      <c r="H182" s="13">
        <v>46206</v>
      </c>
      <c r="I182" s="13">
        <v>46209</v>
      </c>
      <c r="J182" s="13">
        <v>46212</v>
      </c>
      <c r="K182" s="13">
        <v>46215</v>
      </c>
      <c r="L182" s="9" t="s">
        <v>21</v>
      </c>
      <c r="M182" s="14">
        <v>351862</v>
      </c>
      <c r="N182" s="14">
        <v>327232</v>
      </c>
      <c r="O182" s="14" t="s">
        <v>22</v>
      </c>
      <c r="P182" s="9">
        <v>0</v>
      </c>
      <c r="Q182" s="9">
        <v>-24630</v>
      </c>
      <c r="R182" s="15" t="s">
        <v>231</v>
      </c>
    </row>
    <row r="183" spans="1:18" x14ac:dyDescent="0.35">
      <c r="A183" s="12" t="str">
        <f t="shared" si="10"/>
        <v>C182</v>
      </c>
      <c r="B183" s="9" t="s">
        <v>207</v>
      </c>
      <c r="C183" s="9" t="s">
        <v>10</v>
      </c>
      <c r="D183" s="9" t="s">
        <v>238</v>
      </c>
      <c r="E183" s="9">
        <f t="shared" ca="1" si="8"/>
        <v>11</v>
      </c>
      <c r="F183" s="9" t="s">
        <v>12</v>
      </c>
      <c r="G183" s="9" t="s">
        <v>18</v>
      </c>
      <c r="H183" s="13">
        <v>46207</v>
      </c>
      <c r="I183" s="13">
        <v>46208</v>
      </c>
      <c r="J183" s="13" t="s">
        <v>236</v>
      </c>
      <c r="K183" s="13" t="s">
        <v>236</v>
      </c>
      <c r="L183" s="9" t="s">
        <v>223</v>
      </c>
      <c r="M183" s="14">
        <v>576026</v>
      </c>
      <c r="N183" s="14">
        <v>0</v>
      </c>
      <c r="O183" s="14" t="s">
        <v>234</v>
      </c>
      <c r="P183" s="9">
        <v>0</v>
      </c>
      <c r="Q183" s="9">
        <v>0</v>
      </c>
      <c r="R183" s="15" t="s">
        <v>230</v>
      </c>
    </row>
    <row r="184" spans="1:18" x14ac:dyDescent="0.35">
      <c r="A184" s="12" t="str">
        <f t="shared" si="10"/>
        <v>C183</v>
      </c>
      <c r="B184" s="9" t="s">
        <v>208</v>
      </c>
      <c r="C184" s="9" t="s">
        <v>10</v>
      </c>
      <c r="D184" s="9" t="s">
        <v>241</v>
      </c>
      <c r="E184" s="9">
        <f t="shared" ca="1" si="8"/>
        <v>12</v>
      </c>
      <c r="F184" s="9" t="s">
        <v>15</v>
      </c>
      <c r="G184" s="9" t="s">
        <v>17</v>
      </c>
      <c r="H184" s="13">
        <v>46208</v>
      </c>
      <c r="I184" s="13">
        <v>46209</v>
      </c>
      <c r="J184" s="13" t="s">
        <v>236</v>
      </c>
      <c r="K184" s="13" t="s">
        <v>236</v>
      </c>
      <c r="L184" s="9" t="s">
        <v>223</v>
      </c>
      <c r="M184" s="14">
        <v>484227</v>
      </c>
      <c r="N184" s="14">
        <v>0</v>
      </c>
      <c r="O184" s="14" t="s">
        <v>234</v>
      </c>
      <c r="P184" s="9">
        <v>0</v>
      </c>
      <c r="Q184" s="9">
        <v>0</v>
      </c>
      <c r="R184" s="15" t="s">
        <v>230</v>
      </c>
    </row>
    <row r="185" spans="1:18" x14ac:dyDescent="0.35">
      <c r="A185" s="12" t="str">
        <f t="shared" si="10"/>
        <v>C184</v>
      </c>
      <c r="B185" s="9" t="s">
        <v>209</v>
      </c>
      <c r="C185" s="9" t="s">
        <v>11</v>
      </c>
      <c r="D185" s="9" t="s">
        <v>239</v>
      </c>
      <c r="E185" s="9">
        <f t="shared" ca="1" si="8"/>
        <v>12</v>
      </c>
      <c r="F185" s="9" t="s">
        <v>13</v>
      </c>
      <c r="G185" s="9" t="s">
        <v>18</v>
      </c>
      <c r="H185" s="13">
        <v>46209</v>
      </c>
      <c r="I185" s="13">
        <v>46212</v>
      </c>
      <c r="J185" s="13">
        <v>46215</v>
      </c>
      <c r="K185" s="13">
        <v>46218</v>
      </c>
      <c r="L185" s="9" t="s">
        <v>20</v>
      </c>
      <c r="M185" s="14">
        <v>1134987</v>
      </c>
      <c r="N185" s="14">
        <v>1078238</v>
      </c>
      <c r="O185" s="14" t="s">
        <v>236</v>
      </c>
      <c r="P185" s="9">
        <v>27</v>
      </c>
      <c r="Q185" s="9">
        <v>-56749</v>
      </c>
      <c r="R185" s="15" t="s">
        <v>229</v>
      </c>
    </row>
    <row r="186" spans="1:18" x14ac:dyDescent="0.35">
      <c r="A186" s="12" t="str">
        <f t="shared" si="10"/>
        <v>C185</v>
      </c>
      <c r="B186" s="9" t="s">
        <v>210</v>
      </c>
      <c r="C186" s="9" t="s">
        <v>10</v>
      </c>
      <c r="D186" s="9" t="s">
        <v>242</v>
      </c>
      <c r="E186" s="9">
        <f t="shared" ca="1" si="8"/>
        <v>3</v>
      </c>
      <c r="F186" s="9" t="s">
        <v>12</v>
      </c>
      <c r="G186" s="9" t="s">
        <v>19</v>
      </c>
      <c r="H186" s="13">
        <v>46210</v>
      </c>
      <c r="I186" s="13">
        <v>46212</v>
      </c>
      <c r="J186" s="13">
        <v>46215</v>
      </c>
      <c r="K186" s="13" t="s">
        <v>236</v>
      </c>
      <c r="L186" s="9" t="s">
        <v>224</v>
      </c>
      <c r="M186" s="14">
        <v>438705</v>
      </c>
      <c r="N186" s="14">
        <v>0</v>
      </c>
      <c r="O186" s="14" t="s">
        <v>235</v>
      </c>
      <c r="P186" s="9">
        <v>0</v>
      </c>
      <c r="Q186" s="9">
        <v>0</v>
      </c>
      <c r="R186" s="15" t="s">
        <v>232</v>
      </c>
    </row>
    <row r="187" spans="1:18" x14ac:dyDescent="0.35">
      <c r="A187" s="12" t="str">
        <f t="shared" si="10"/>
        <v>C186</v>
      </c>
      <c r="B187" s="9" t="s">
        <v>211</v>
      </c>
      <c r="C187" s="9" t="s">
        <v>10</v>
      </c>
      <c r="D187" s="9" t="s">
        <v>239</v>
      </c>
      <c r="E187" s="9">
        <f t="shared" ca="1" si="8"/>
        <v>2</v>
      </c>
      <c r="F187" s="9" t="s">
        <v>14</v>
      </c>
      <c r="G187" s="9" t="s">
        <v>18</v>
      </c>
      <c r="H187" s="13">
        <v>46211</v>
      </c>
      <c r="I187" s="13">
        <v>46213</v>
      </c>
      <c r="J187" s="13">
        <v>46215</v>
      </c>
      <c r="K187" s="13">
        <v>46218</v>
      </c>
      <c r="L187" s="9" t="s">
        <v>20</v>
      </c>
      <c r="M187" s="14">
        <v>424256</v>
      </c>
      <c r="N187" s="14">
        <v>394558</v>
      </c>
      <c r="O187" s="14" t="s">
        <v>236</v>
      </c>
      <c r="P187" s="9">
        <v>14</v>
      </c>
      <c r="Q187" s="9">
        <v>-29698</v>
      </c>
      <c r="R187" s="15" t="s">
        <v>229</v>
      </c>
    </row>
    <row r="188" spans="1:18" x14ac:dyDescent="0.35">
      <c r="A188" s="12" t="str">
        <f t="shared" si="10"/>
        <v>C187</v>
      </c>
      <c r="B188" s="9" t="s">
        <v>212</v>
      </c>
      <c r="C188" s="9" t="s">
        <v>10</v>
      </c>
      <c r="D188" s="9" t="s">
        <v>238</v>
      </c>
      <c r="E188" s="9">
        <f t="shared" ca="1" si="8"/>
        <v>0</v>
      </c>
      <c r="F188" s="9" t="s">
        <v>15</v>
      </c>
      <c r="G188" s="9" t="s">
        <v>16</v>
      </c>
      <c r="H188" s="13">
        <v>46212</v>
      </c>
      <c r="I188" s="13">
        <v>46213</v>
      </c>
      <c r="J188" s="13" t="s">
        <v>236</v>
      </c>
      <c r="K188" s="13" t="s">
        <v>236</v>
      </c>
      <c r="L188" s="9" t="s">
        <v>223</v>
      </c>
      <c r="M188" s="14">
        <v>483154</v>
      </c>
      <c r="N188" s="14">
        <v>0</v>
      </c>
      <c r="O188" s="14" t="s">
        <v>234</v>
      </c>
      <c r="P188" s="9">
        <v>0</v>
      </c>
      <c r="Q188" s="9">
        <v>0</v>
      </c>
      <c r="R188" s="15" t="s">
        <v>230</v>
      </c>
    </row>
    <row r="189" spans="1:18" x14ac:dyDescent="0.35">
      <c r="A189" s="12" t="str">
        <f t="shared" si="10"/>
        <v>C188</v>
      </c>
      <c r="B189" s="9" t="s">
        <v>213</v>
      </c>
      <c r="C189" s="9" t="s">
        <v>10</v>
      </c>
      <c r="D189" s="9" t="s">
        <v>239</v>
      </c>
      <c r="E189" s="9">
        <f t="shared" ca="1" si="8"/>
        <v>9</v>
      </c>
      <c r="F189" s="9" t="s">
        <v>13</v>
      </c>
      <c r="G189" s="9" t="s">
        <v>17</v>
      </c>
      <c r="H189" s="13">
        <v>46213</v>
      </c>
      <c r="I189" s="13">
        <v>46216</v>
      </c>
      <c r="J189" s="13" t="s">
        <v>236</v>
      </c>
      <c r="K189" s="13" t="s">
        <v>236</v>
      </c>
      <c r="L189" s="9" t="s">
        <v>223</v>
      </c>
      <c r="M189" s="14">
        <v>805956</v>
      </c>
      <c r="N189" s="14">
        <v>0</v>
      </c>
      <c r="O189" s="14" t="s">
        <v>234</v>
      </c>
      <c r="P189" s="9">
        <v>0</v>
      </c>
      <c r="Q189" s="9">
        <v>0</v>
      </c>
      <c r="R189" s="15" t="s">
        <v>230</v>
      </c>
    </row>
    <row r="190" spans="1:18" x14ac:dyDescent="0.35">
      <c r="A190" s="12" t="str">
        <f t="shared" si="10"/>
        <v>C189</v>
      </c>
      <c r="B190" s="9" t="s">
        <v>214</v>
      </c>
      <c r="C190" s="9" t="s">
        <v>11</v>
      </c>
      <c r="D190" s="9" t="s">
        <v>239</v>
      </c>
      <c r="E190" s="9">
        <f t="shared" ca="1" si="8"/>
        <v>12</v>
      </c>
      <c r="F190" s="9" t="s">
        <v>12</v>
      </c>
      <c r="G190" s="9" t="s">
        <v>17</v>
      </c>
      <c r="H190" s="13">
        <v>46214</v>
      </c>
      <c r="I190" s="13">
        <v>46216</v>
      </c>
      <c r="J190" s="13">
        <v>46221</v>
      </c>
      <c r="K190" s="13">
        <v>46224</v>
      </c>
      <c r="L190" s="9" t="s">
        <v>21</v>
      </c>
      <c r="M190" s="14">
        <v>328140</v>
      </c>
      <c r="N190" s="14">
        <v>321577</v>
      </c>
      <c r="O190" s="14" t="s">
        <v>22</v>
      </c>
      <c r="P190" s="9">
        <v>0</v>
      </c>
      <c r="Q190" s="9">
        <v>-6563</v>
      </c>
      <c r="R190" s="15" t="s">
        <v>231</v>
      </c>
    </row>
    <row r="191" spans="1:18" x14ac:dyDescent="0.35">
      <c r="A191" s="12" t="str">
        <f t="shared" si="10"/>
        <v>C190</v>
      </c>
      <c r="B191" s="9" t="s">
        <v>215</v>
      </c>
      <c r="C191" s="9" t="s">
        <v>11</v>
      </c>
      <c r="D191" s="9" t="s">
        <v>242</v>
      </c>
      <c r="E191" s="9">
        <f t="shared" ca="1" si="8"/>
        <v>0</v>
      </c>
      <c r="F191" s="9" t="s">
        <v>14</v>
      </c>
      <c r="G191" s="9" t="s">
        <v>17</v>
      </c>
      <c r="H191" s="13">
        <v>46215</v>
      </c>
      <c r="I191" s="13">
        <v>46216</v>
      </c>
      <c r="J191" s="13">
        <v>46219</v>
      </c>
      <c r="K191" s="13">
        <v>46221</v>
      </c>
      <c r="L191" s="9" t="s">
        <v>20</v>
      </c>
      <c r="M191" s="14">
        <v>503494</v>
      </c>
      <c r="N191" s="14">
        <v>458180</v>
      </c>
      <c r="O191" s="14" t="s">
        <v>236</v>
      </c>
      <c r="P191" s="9">
        <v>18</v>
      </c>
      <c r="Q191" s="9">
        <v>-45314</v>
      </c>
      <c r="R191" s="15" t="s">
        <v>229</v>
      </c>
    </row>
    <row r="192" spans="1:18" x14ac:dyDescent="0.35">
      <c r="A192" s="12" t="str">
        <f t="shared" si="10"/>
        <v>C191</v>
      </c>
      <c r="B192" s="9" t="s">
        <v>216</v>
      </c>
      <c r="C192" s="9" t="s">
        <v>11</v>
      </c>
      <c r="D192" s="9" t="s">
        <v>239</v>
      </c>
      <c r="E192" s="9">
        <f t="shared" ca="1" si="8"/>
        <v>6</v>
      </c>
      <c r="F192" s="9" t="s">
        <v>13</v>
      </c>
      <c r="G192" s="9" t="s">
        <v>18</v>
      </c>
      <c r="H192" s="13">
        <v>46216</v>
      </c>
      <c r="I192" s="13">
        <v>46217</v>
      </c>
      <c r="J192" s="13">
        <v>46222</v>
      </c>
      <c r="K192" s="13" t="s">
        <v>236</v>
      </c>
      <c r="L192" s="9" t="s">
        <v>224</v>
      </c>
      <c r="M192" s="14">
        <v>610456</v>
      </c>
      <c r="N192" s="14">
        <v>0</v>
      </c>
      <c r="O192" s="14" t="s">
        <v>235</v>
      </c>
      <c r="P192" s="9">
        <v>0</v>
      </c>
      <c r="Q192" s="9">
        <v>0</v>
      </c>
      <c r="R192" s="15" t="s">
        <v>232</v>
      </c>
    </row>
    <row r="193" spans="1:19" x14ac:dyDescent="0.35">
      <c r="A193" s="12" t="str">
        <f t="shared" si="10"/>
        <v>C192</v>
      </c>
      <c r="B193" s="9" t="s">
        <v>217</v>
      </c>
      <c r="C193" s="9" t="s">
        <v>11</v>
      </c>
      <c r="D193" s="9" t="s">
        <v>240</v>
      </c>
      <c r="E193" s="9">
        <f t="shared" ca="1" si="8"/>
        <v>4</v>
      </c>
      <c r="F193" s="9" t="s">
        <v>15</v>
      </c>
      <c r="G193" s="9" t="s">
        <v>19</v>
      </c>
      <c r="H193" s="13">
        <v>46217</v>
      </c>
      <c r="I193" s="13">
        <v>46219</v>
      </c>
      <c r="J193" s="13" t="s">
        <v>236</v>
      </c>
      <c r="K193" s="13" t="s">
        <v>236</v>
      </c>
      <c r="L193" s="9" t="s">
        <v>223</v>
      </c>
      <c r="M193" s="14">
        <v>377490</v>
      </c>
      <c r="N193" s="14">
        <v>0</v>
      </c>
      <c r="O193" s="14" t="s">
        <v>234</v>
      </c>
      <c r="P193" s="9">
        <v>0</v>
      </c>
      <c r="Q193" s="9">
        <v>0</v>
      </c>
      <c r="R193" s="15" t="s">
        <v>230</v>
      </c>
    </row>
    <row r="194" spans="1:19" x14ac:dyDescent="0.35">
      <c r="A194" s="12" t="str">
        <f t="shared" si="10"/>
        <v>C193</v>
      </c>
      <c r="B194" s="9" t="s">
        <v>218</v>
      </c>
      <c r="C194" s="9" t="s">
        <v>11</v>
      </c>
      <c r="D194" s="9" t="s">
        <v>239</v>
      </c>
      <c r="E194" s="9">
        <f t="shared" ca="1" si="8"/>
        <v>5</v>
      </c>
      <c r="F194" s="9" t="s">
        <v>13</v>
      </c>
      <c r="G194" s="9" t="s">
        <v>19</v>
      </c>
      <c r="H194" s="13">
        <v>46218</v>
      </c>
      <c r="I194" s="13">
        <v>46220</v>
      </c>
      <c r="J194" s="13">
        <v>46222</v>
      </c>
      <c r="K194" s="13">
        <v>46224</v>
      </c>
      <c r="L194" s="9" t="s">
        <v>21</v>
      </c>
      <c r="M194" s="14">
        <v>1169266</v>
      </c>
      <c r="N194" s="14">
        <v>1134188</v>
      </c>
      <c r="O194" s="14" t="s">
        <v>22</v>
      </c>
      <c r="P194" s="9">
        <v>0</v>
      </c>
      <c r="Q194" s="9">
        <v>-35078</v>
      </c>
      <c r="R194" s="15" t="s">
        <v>231</v>
      </c>
    </row>
    <row r="195" spans="1:19" x14ac:dyDescent="0.35">
      <c r="A195" s="12" t="str">
        <f t="shared" si="10"/>
        <v>C194</v>
      </c>
      <c r="B195" s="9" t="s">
        <v>219</v>
      </c>
      <c r="C195" s="9" t="s">
        <v>10</v>
      </c>
      <c r="D195" s="9" t="s">
        <v>239</v>
      </c>
      <c r="E195" s="9">
        <f t="shared" ca="1" si="8"/>
        <v>10</v>
      </c>
      <c r="F195" s="9" t="s">
        <v>15</v>
      </c>
      <c r="G195" s="9" t="s">
        <v>18</v>
      </c>
      <c r="H195" s="13">
        <v>46219</v>
      </c>
      <c r="I195" s="13">
        <v>46222</v>
      </c>
      <c r="J195" s="13" t="s">
        <v>236</v>
      </c>
      <c r="K195" s="13" t="s">
        <v>236</v>
      </c>
      <c r="L195" s="9" t="s">
        <v>223</v>
      </c>
      <c r="M195" s="14">
        <v>578709</v>
      </c>
      <c r="N195" s="14">
        <v>0</v>
      </c>
      <c r="O195" s="14" t="s">
        <v>234</v>
      </c>
      <c r="P195" s="9">
        <v>0</v>
      </c>
      <c r="Q195" s="9">
        <v>0</v>
      </c>
      <c r="R195" s="15" t="s">
        <v>230</v>
      </c>
    </row>
    <row r="196" spans="1:19" x14ac:dyDescent="0.35">
      <c r="A196" s="12" t="str">
        <f t="shared" si="10"/>
        <v>C195</v>
      </c>
      <c r="B196" s="9" t="s">
        <v>220</v>
      </c>
      <c r="C196" s="9" t="s">
        <v>11</v>
      </c>
      <c r="D196" s="9" t="s">
        <v>238</v>
      </c>
      <c r="E196" s="9">
        <f t="shared" ca="1" si="8"/>
        <v>10</v>
      </c>
      <c r="F196" s="9" t="s">
        <v>13</v>
      </c>
      <c r="G196" s="9" t="s">
        <v>18</v>
      </c>
      <c r="H196" s="13">
        <v>46220</v>
      </c>
      <c r="I196" s="13">
        <v>46222</v>
      </c>
      <c r="J196" s="13">
        <v>46224</v>
      </c>
      <c r="K196" s="13" t="s">
        <v>236</v>
      </c>
      <c r="L196" s="9" t="s">
        <v>224</v>
      </c>
      <c r="M196" s="14">
        <v>455104</v>
      </c>
      <c r="N196" s="14">
        <v>0</v>
      </c>
      <c r="O196" s="14" t="s">
        <v>235</v>
      </c>
      <c r="P196" s="9">
        <v>0</v>
      </c>
      <c r="Q196" s="9">
        <v>0</v>
      </c>
      <c r="R196" s="15" t="s">
        <v>232</v>
      </c>
    </row>
    <row r="197" spans="1:19" x14ac:dyDescent="0.35">
      <c r="A197" s="12" t="str">
        <f t="shared" si="10"/>
        <v>C196</v>
      </c>
      <c r="B197" s="9" t="s">
        <v>221</v>
      </c>
      <c r="C197" s="9" t="s">
        <v>11</v>
      </c>
      <c r="D197" s="9" t="s">
        <v>240</v>
      </c>
      <c r="E197" s="9">
        <f t="shared" ca="1" si="8"/>
        <v>6</v>
      </c>
      <c r="F197" s="9" t="s">
        <v>12</v>
      </c>
      <c r="G197" s="9" t="s">
        <v>19</v>
      </c>
      <c r="H197" s="13">
        <v>46221</v>
      </c>
      <c r="I197" s="13">
        <v>46224</v>
      </c>
      <c r="J197" s="13">
        <v>46227</v>
      </c>
      <c r="K197" s="13">
        <v>46228</v>
      </c>
      <c r="L197" s="9" t="s">
        <v>20</v>
      </c>
      <c r="M197" s="14">
        <v>503622</v>
      </c>
      <c r="N197" s="14">
        <v>483477</v>
      </c>
      <c r="O197" s="14" t="s">
        <v>236</v>
      </c>
      <c r="P197" s="9">
        <v>18</v>
      </c>
      <c r="Q197" s="9">
        <v>-20145</v>
      </c>
      <c r="R197" s="15" t="s">
        <v>229</v>
      </c>
    </row>
    <row r="198" spans="1:19" x14ac:dyDescent="0.35">
      <c r="A198" s="12" t="str">
        <f t="shared" si="10"/>
        <v>C197</v>
      </c>
      <c r="B198" s="9" t="s">
        <v>222</v>
      </c>
      <c r="C198" s="9" t="s">
        <v>10</v>
      </c>
      <c r="D198" s="9" t="s">
        <v>239</v>
      </c>
      <c r="E198" s="9">
        <f t="shared" ca="1" si="8"/>
        <v>5</v>
      </c>
      <c r="F198" s="9" t="s">
        <v>15</v>
      </c>
      <c r="G198" s="9" t="s">
        <v>17</v>
      </c>
      <c r="H198" s="13">
        <v>46222</v>
      </c>
      <c r="I198" s="13">
        <v>46225</v>
      </c>
      <c r="J198" s="13">
        <v>46228</v>
      </c>
      <c r="K198" s="13" t="s">
        <v>236</v>
      </c>
      <c r="L198" s="9" t="s">
        <v>224</v>
      </c>
      <c r="M198" s="14">
        <v>402380</v>
      </c>
      <c r="N198" s="14">
        <v>0</v>
      </c>
      <c r="O198" s="14" t="s">
        <v>235</v>
      </c>
      <c r="P198" s="9">
        <v>0</v>
      </c>
      <c r="Q198" s="9">
        <v>0</v>
      </c>
      <c r="R198" s="15" t="s">
        <v>232</v>
      </c>
    </row>
    <row r="199" spans="1:19" x14ac:dyDescent="0.35">
      <c r="A199" s="1"/>
      <c r="B199" s="1"/>
      <c r="C199" s="1"/>
      <c r="D199" s="1"/>
      <c r="E199" s="1"/>
      <c r="F199" s="1"/>
      <c r="G199" s="1"/>
      <c r="H199" s="1"/>
      <c r="I199" s="1"/>
      <c r="J199" s="1"/>
      <c r="K199" s="1"/>
      <c r="L199" s="1"/>
      <c r="M199" s="1"/>
      <c r="N199" s="1"/>
      <c r="O199" s="1"/>
      <c r="P199" s="1"/>
      <c r="Q199" s="1"/>
      <c r="R199" s="1"/>
      <c r="S199" s="1"/>
    </row>
    <row r="200" spans="1:19" x14ac:dyDescent="0.35">
      <c r="M200" s="3"/>
      <c r="N200" s="3"/>
      <c r="O200" s="3"/>
    </row>
    <row r="201" spans="1:19" x14ac:dyDescent="0.35">
      <c r="M201" s="3"/>
      <c r="N201" s="3"/>
      <c r="O201" s="3"/>
    </row>
    <row r="202" spans="1:19" x14ac:dyDescent="0.35">
      <c r="M202" s="3"/>
      <c r="N202" s="3"/>
      <c r="O202" s="3"/>
    </row>
    <row r="203" spans="1:19" x14ac:dyDescent="0.35">
      <c r="M203" s="3"/>
      <c r="N203" s="3"/>
      <c r="O203" s="3"/>
    </row>
    <row r="204" spans="1:19" x14ac:dyDescent="0.35">
      <c r="M204" s="3"/>
      <c r="N204" s="3"/>
      <c r="O204" s="3"/>
    </row>
    <row r="205" spans="1:19" x14ac:dyDescent="0.35">
      <c r="M205" s="3"/>
      <c r="N205" s="3"/>
      <c r="O205" s="3"/>
    </row>
    <row r="206" spans="1:19" x14ac:dyDescent="0.35">
      <c r="M206" s="3"/>
      <c r="N206" s="3"/>
      <c r="O206" s="3"/>
    </row>
    <row r="207" spans="1:19" x14ac:dyDescent="0.35">
      <c r="M207" s="3"/>
      <c r="N207" s="3"/>
      <c r="O207" s="3"/>
    </row>
    <row r="208" spans="1:19" x14ac:dyDescent="0.35">
      <c r="M208" s="3"/>
      <c r="N208" s="3"/>
      <c r="O208" s="3"/>
    </row>
    <row r="209" s="3" customFormat="1" x14ac:dyDescent="0.35"/>
    <row r="210" s="3" customFormat="1" x14ac:dyDescent="0.35"/>
    <row r="211" s="3" customFormat="1" x14ac:dyDescent="0.35"/>
    <row r="212" s="3" customFormat="1" x14ac:dyDescent="0.35"/>
    <row r="213" s="3" customFormat="1" x14ac:dyDescent="0.35"/>
    <row r="214" s="3" customFormat="1" x14ac:dyDescent="0.35"/>
    <row r="215" s="3" customFormat="1" x14ac:dyDescent="0.35"/>
    <row r="216" s="3" customFormat="1" x14ac:dyDescent="0.35"/>
    <row r="217" s="3" customFormat="1" x14ac:dyDescent="0.35"/>
    <row r="218" s="3" customFormat="1" x14ac:dyDescent="0.35"/>
    <row r="219" s="3" customFormat="1" x14ac:dyDescent="0.35"/>
    <row r="220" s="3" customFormat="1" x14ac:dyDescent="0.35"/>
    <row r="221" s="3" customFormat="1" x14ac:dyDescent="0.35"/>
    <row r="222" s="3" customFormat="1" x14ac:dyDescent="0.35"/>
    <row r="223" s="3" customFormat="1" x14ac:dyDescent="0.35"/>
    <row r="224" s="3" customFormat="1" x14ac:dyDescent="0.35"/>
    <row r="225" s="3" customFormat="1" x14ac:dyDescent="0.35"/>
    <row r="226" s="3" customFormat="1" x14ac:dyDescent="0.35"/>
    <row r="227" s="3" customFormat="1" x14ac:dyDescent="0.35"/>
    <row r="228" s="3" customFormat="1" x14ac:dyDescent="0.35"/>
    <row r="229" s="3" customFormat="1" x14ac:dyDescent="0.35"/>
    <row r="230" s="3" customFormat="1" x14ac:dyDescent="0.35"/>
    <row r="231" s="3" customFormat="1" x14ac:dyDescent="0.35"/>
    <row r="232" s="3" customFormat="1" x14ac:dyDescent="0.35"/>
    <row r="233" s="3" customFormat="1" x14ac:dyDescent="0.35"/>
    <row r="234" s="3" customFormat="1" x14ac:dyDescent="0.35"/>
    <row r="235" s="3" customFormat="1" x14ac:dyDescent="0.35"/>
    <row r="236" s="3" customFormat="1" x14ac:dyDescent="0.35"/>
    <row r="237" s="3" customFormat="1" x14ac:dyDescent="0.35"/>
    <row r="238" s="3" customFormat="1" x14ac:dyDescent="0.35"/>
    <row r="239" s="3" customFormat="1" x14ac:dyDescent="0.35"/>
    <row r="240" s="3" customFormat="1" x14ac:dyDescent="0.35"/>
    <row r="241" s="3" customFormat="1" x14ac:dyDescent="0.35"/>
    <row r="242" s="3" customFormat="1" x14ac:dyDescent="0.35"/>
    <row r="243" s="3" customFormat="1" x14ac:dyDescent="0.35"/>
    <row r="244" s="3" customFormat="1" x14ac:dyDescent="0.35"/>
    <row r="245" s="3" customFormat="1" x14ac:dyDescent="0.35"/>
    <row r="246" s="3" customFormat="1" x14ac:dyDescent="0.35"/>
    <row r="247" s="3" customFormat="1" x14ac:dyDescent="0.35"/>
    <row r="248" s="3" customFormat="1" x14ac:dyDescent="0.35"/>
    <row r="249" s="3" customFormat="1" x14ac:dyDescent="0.35"/>
    <row r="250" s="3" customFormat="1" x14ac:dyDescent="0.35"/>
    <row r="251" s="3" customFormat="1" x14ac:dyDescent="0.35"/>
    <row r="252" s="3" customFormat="1" x14ac:dyDescent="0.35"/>
    <row r="253" s="3" customFormat="1" x14ac:dyDescent="0.35"/>
    <row r="254" s="3" customFormat="1" x14ac:dyDescent="0.35"/>
    <row r="255" s="3" customFormat="1" x14ac:dyDescent="0.35"/>
    <row r="256" s="3" customFormat="1" x14ac:dyDescent="0.35"/>
    <row r="257" s="3" customFormat="1" x14ac:dyDescent="0.35"/>
    <row r="258" s="3" customFormat="1" x14ac:dyDescent="0.35"/>
    <row r="259" s="3" customFormat="1" x14ac:dyDescent="0.35"/>
    <row r="260" s="3" customFormat="1" x14ac:dyDescent="0.35"/>
    <row r="261" s="3" customFormat="1" x14ac:dyDescent="0.35"/>
    <row r="262" s="3" customFormat="1" x14ac:dyDescent="0.35"/>
    <row r="263" s="3" customFormat="1" x14ac:dyDescent="0.35"/>
    <row r="264" s="3" customFormat="1" x14ac:dyDescent="0.35"/>
    <row r="265" s="3" customFormat="1" x14ac:dyDescent="0.35"/>
    <row r="266" s="3" customFormat="1" x14ac:dyDescent="0.35"/>
    <row r="267" s="3" customFormat="1" x14ac:dyDescent="0.35"/>
    <row r="268" s="3" customFormat="1" x14ac:dyDescent="0.35"/>
    <row r="269" s="3" customFormat="1" x14ac:dyDescent="0.35"/>
    <row r="270" s="3" customFormat="1" x14ac:dyDescent="0.35"/>
    <row r="271" s="3" customFormat="1" x14ac:dyDescent="0.35"/>
    <row r="272" s="3" customFormat="1" x14ac:dyDescent="0.35"/>
    <row r="273" s="3" customFormat="1" x14ac:dyDescent="0.35"/>
    <row r="274" s="3" customFormat="1" x14ac:dyDescent="0.35"/>
    <row r="275" s="3" customFormat="1" x14ac:dyDescent="0.35"/>
    <row r="276" s="3" customFormat="1" x14ac:dyDescent="0.35"/>
    <row r="277" s="3" customFormat="1" x14ac:dyDescent="0.35"/>
    <row r="278" s="3" customFormat="1" x14ac:dyDescent="0.35"/>
    <row r="279" s="3" customFormat="1" x14ac:dyDescent="0.35"/>
    <row r="280" s="3" customFormat="1" x14ac:dyDescent="0.35"/>
    <row r="281" s="3" customFormat="1" x14ac:dyDescent="0.35"/>
    <row r="282" s="3" customFormat="1" x14ac:dyDescent="0.35"/>
    <row r="283" s="3" customFormat="1" x14ac:dyDescent="0.35"/>
    <row r="284" s="3" customFormat="1" x14ac:dyDescent="0.35"/>
    <row r="285" s="3" customFormat="1" x14ac:dyDescent="0.35"/>
    <row r="286" s="3" customFormat="1" x14ac:dyDescent="0.35"/>
    <row r="287" s="3" customFormat="1" x14ac:dyDescent="0.35"/>
    <row r="288" s="3" customFormat="1" x14ac:dyDescent="0.35"/>
    <row r="289" s="3" customFormat="1" x14ac:dyDescent="0.35"/>
    <row r="290" s="3" customFormat="1" x14ac:dyDescent="0.35"/>
    <row r="291" s="3" customFormat="1" x14ac:dyDescent="0.35"/>
    <row r="292" s="3" customFormat="1" x14ac:dyDescent="0.35"/>
    <row r="293" s="3" customFormat="1" x14ac:dyDescent="0.35"/>
    <row r="294" s="3" customFormat="1" x14ac:dyDescent="0.35"/>
    <row r="295" s="3" customFormat="1" x14ac:dyDescent="0.35"/>
    <row r="296" s="3" customFormat="1" x14ac:dyDescent="0.35"/>
    <row r="297" s="3" customFormat="1" x14ac:dyDescent="0.35"/>
    <row r="298" s="3" customFormat="1" x14ac:dyDescent="0.35"/>
    <row r="299" s="3" customFormat="1" x14ac:dyDescent="0.35"/>
    <row r="300" s="3" customFormat="1" x14ac:dyDescent="0.35"/>
    <row r="301" s="3" customFormat="1" x14ac:dyDescent="0.35"/>
    <row r="302" s="3" customFormat="1" x14ac:dyDescent="0.35"/>
    <row r="303" s="3" customFormat="1" x14ac:dyDescent="0.35"/>
    <row r="304" s="3" customFormat="1" x14ac:dyDescent="0.35"/>
    <row r="305" s="3" customFormat="1" x14ac:dyDescent="0.35"/>
    <row r="306" s="3" customFormat="1" x14ac:dyDescent="0.35"/>
    <row r="307" s="3" customFormat="1" x14ac:dyDescent="0.35"/>
    <row r="308" s="3" customFormat="1" x14ac:dyDescent="0.35"/>
    <row r="309" s="3" customFormat="1" x14ac:dyDescent="0.35"/>
    <row r="310" s="3" customFormat="1" x14ac:dyDescent="0.35"/>
    <row r="311" s="3" customFormat="1" x14ac:dyDescent="0.35"/>
    <row r="312" s="3" customFormat="1" x14ac:dyDescent="0.35"/>
    <row r="313" s="3" customFormat="1" x14ac:dyDescent="0.35"/>
    <row r="314" s="3" customFormat="1" x14ac:dyDescent="0.35"/>
    <row r="315" s="3" customFormat="1" x14ac:dyDescent="0.35"/>
    <row r="316" s="3" customFormat="1" x14ac:dyDescent="0.35"/>
    <row r="317" s="3" customFormat="1" x14ac:dyDescent="0.35"/>
    <row r="318" s="3" customFormat="1" x14ac:dyDescent="0.35"/>
    <row r="319" s="3" customFormat="1" x14ac:dyDescent="0.35"/>
    <row r="320" s="3" customFormat="1" x14ac:dyDescent="0.35"/>
    <row r="321" s="3" customFormat="1" x14ac:dyDescent="0.35"/>
    <row r="322" s="3" customFormat="1" x14ac:dyDescent="0.35"/>
    <row r="323" s="3" customFormat="1" x14ac:dyDescent="0.35"/>
    <row r="324" s="3" customFormat="1" x14ac:dyDescent="0.35"/>
    <row r="325" s="3" customFormat="1" x14ac:dyDescent="0.35"/>
    <row r="326" s="3" customFormat="1" x14ac:dyDescent="0.35"/>
    <row r="327" s="3" customFormat="1" x14ac:dyDescent="0.35"/>
    <row r="328" s="3" customFormat="1" x14ac:dyDescent="0.35"/>
    <row r="329" s="3" customFormat="1" x14ac:dyDescent="0.35"/>
    <row r="330" s="3" customFormat="1" x14ac:dyDescent="0.35"/>
    <row r="331" s="3" customFormat="1" x14ac:dyDescent="0.35"/>
    <row r="332" s="3" customFormat="1" x14ac:dyDescent="0.35"/>
    <row r="333" s="3" customFormat="1" x14ac:dyDescent="0.35"/>
    <row r="334" s="3" customFormat="1" x14ac:dyDescent="0.35"/>
    <row r="335" s="3" customFormat="1" x14ac:dyDescent="0.35"/>
    <row r="336" s="3" customFormat="1" x14ac:dyDescent="0.35"/>
    <row r="337" s="3" customFormat="1" x14ac:dyDescent="0.35"/>
    <row r="338" s="3" customFormat="1" x14ac:dyDescent="0.35"/>
    <row r="339" s="3" customFormat="1" x14ac:dyDescent="0.35"/>
    <row r="340" s="3" customFormat="1" x14ac:dyDescent="0.35"/>
    <row r="341" s="3" customFormat="1" x14ac:dyDescent="0.35"/>
    <row r="342" s="3" customFormat="1" x14ac:dyDescent="0.35"/>
    <row r="343" s="3" customFormat="1" x14ac:dyDescent="0.35"/>
    <row r="344" s="3" customFormat="1" x14ac:dyDescent="0.35"/>
    <row r="345" s="3" customFormat="1" x14ac:dyDescent="0.35"/>
    <row r="346" s="3" customFormat="1" x14ac:dyDescent="0.35"/>
    <row r="347" s="3" customFormat="1" x14ac:dyDescent="0.35"/>
    <row r="348" s="3" customFormat="1" x14ac:dyDescent="0.35"/>
    <row r="349" s="3" customFormat="1" x14ac:dyDescent="0.35"/>
    <row r="350" s="3" customFormat="1" x14ac:dyDescent="0.35"/>
    <row r="351" s="3" customFormat="1" x14ac:dyDescent="0.35"/>
    <row r="352" s="3" customFormat="1" x14ac:dyDescent="0.35"/>
    <row r="353" s="3" customFormat="1" x14ac:dyDescent="0.35"/>
    <row r="354" s="3" customFormat="1" x14ac:dyDescent="0.35"/>
    <row r="355" s="3" customFormat="1" x14ac:dyDescent="0.35"/>
    <row r="356" s="3" customFormat="1" x14ac:dyDescent="0.35"/>
    <row r="357" s="3" customFormat="1" x14ac:dyDescent="0.35"/>
    <row r="358" s="3" customFormat="1" x14ac:dyDescent="0.35"/>
    <row r="359" s="3" customFormat="1" x14ac:dyDescent="0.35"/>
    <row r="360" s="3" customFormat="1" x14ac:dyDescent="0.35"/>
    <row r="361" s="3" customFormat="1" x14ac:dyDescent="0.35"/>
    <row r="362" s="3" customFormat="1" x14ac:dyDescent="0.35"/>
    <row r="363" s="3" customFormat="1" x14ac:dyDescent="0.35"/>
    <row r="364" s="3" customFormat="1" x14ac:dyDescent="0.35"/>
    <row r="365" s="3" customFormat="1" x14ac:dyDescent="0.35"/>
    <row r="366" s="3" customFormat="1" x14ac:dyDescent="0.35"/>
    <row r="367" s="3" customFormat="1" x14ac:dyDescent="0.35"/>
    <row r="368" s="3" customFormat="1" x14ac:dyDescent="0.35"/>
    <row r="369" s="3" customFormat="1" x14ac:dyDescent="0.35"/>
    <row r="370" s="3" customFormat="1" x14ac:dyDescent="0.35"/>
    <row r="371" s="3" customFormat="1" x14ac:dyDescent="0.35"/>
    <row r="372" s="3" customFormat="1" x14ac:dyDescent="0.35"/>
    <row r="373" s="3" customFormat="1" x14ac:dyDescent="0.35"/>
    <row r="374" s="3" customFormat="1" x14ac:dyDescent="0.35"/>
    <row r="375" s="3" customFormat="1" x14ac:dyDescent="0.35"/>
    <row r="376" s="3" customFormat="1" x14ac:dyDescent="0.35"/>
    <row r="377" s="3" customFormat="1" x14ac:dyDescent="0.35"/>
    <row r="378" s="3" customFormat="1" x14ac:dyDescent="0.35"/>
    <row r="379" s="3" customFormat="1" x14ac:dyDescent="0.35"/>
    <row r="380" s="3" customFormat="1" x14ac:dyDescent="0.35"/>
    <row r="381" s="3" customFormat="1" x14ac:dyDescent="0.35"/>
    <row r="382" s="3" customFormat="1" x14ac:dyDescent="0.35"/>
    <row r="383" s="3" customFormat="1" x14ac:dyDescent="0.35"/>
    <row r="384" s="3" customFormat="1" x14ac:dyDescent="0.35"/>
    <row r="385" s="3" customFormat="1" x14ac:dyDescent="0.35"/>
    <row r="386" s="3" customFormat="1" x14ac:dyDescent="0.35"/>
    <row r="387" s="3" customFormat="1" x14ac:dyDescent="0.35"/>
    <row r="388" s="3" customFormat="1" x14ac:dyDescent="0.35"/>
    <row r="389" s="3" customFormat="1" x14ac:dyDescent="0.35"/>
    <row r="390" s="3" customFormat="1" x14ac:dyDescent="0.35"/>
    <row r="391" s="3" customFormat="1" x14ac:dyDescent="0.35"/>
  </sheetData>
  <dataConsolidate/>
  <phoneticPr fontId="1" type="noConversion"/>
  <dataValidations count="2">
    <dataValidation type="list" allowBlank="1" showInputMessage="1" showErrorMessage="1" sqref="F1:F198 C200:F1048576" xr:uid="{E2E19D40-ACFF-4350-89B5-5FDD2FE0FBF4}">
      <formula1>"SALES,TECHNOLOGY,HR,OPERATIONS"</formula1>
    </dataValidation>
    <dataValidation type="list" allowBlank="1" showInputMessage="1" showErrorMessage="1" sqref="G200:G1048576 G1:G198" xr:uid="{E7402E51-9D98-44C7-977B-4EFB19279FAA}">
      <formula1>"ANANYA,RAHUL,PRIYA,KARAN"</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510A-E857-4077-884C-3309BD71550D}">
  <dimension ref="A3:B8"/>
  <sheetViews>
    <sheetView showGridLines="0" workbookViewId="0">
      <selection activeCell="C15" sqref="C15"/>
    </sheetView>
  </sheetViews>
  <sheetFormatPr defaultColWidth="8.90625" defaultRowHeight="15" x14ac:dyDescent="0.35"/>
  <cols>
    <col min="1" max="1" width="19" style="1" bestFit="1" customWidth="1"/>
    <col min="2" max="2" width="24.90625" style="1" bestFit="1" customWidth="1"/>
    <col min="3" max="16384" width="8.90625" style="1"/>
  </cols>
  <sheetData>
    <row r="3" spans="1:2" x14ac:dyDescent="0.35">
      <c r="A3" s="4" t="s">
        <v>225</v>
      </c>
      <c r="B3" s="4" t="s">
        <v>251</v>
      </c>
    </row>
    <row r="4" spans="1:2" x14ac:dyDescent="0.35">
      <c r="A4" s="5" t="s">
        <v>229</v>
      </c>
      <c r="B4" s="4">
        <v>40</v>
      </c>
    </row>
    <row r="5" spans="1:2" x14ac:dyDescent="0.35">
      <c r="A5" s="5" t="s">
        <v>226</v>
      </c>
      <c r="B5" s="4">
        <v>40</v>
      </c>
    </row>
    <row r="6" spans="1:2" x14ac:dyDescent="0.35">
      <c r="A6" s="6"/>
      <c r="B6" s="6"/>
    </row>
    <row r="7" spans="1:2" x14ac:dyDescent="0.35">
      <c r="A7" s="6"/>
      <c r="B7" s="6"/>
    </row>
    <row r="8" spans="1:2" x14ac:dyDescent="0.35">
      <c r="A8" s="6"/>
      <c r="B8"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9127C-461A-492B-994D-3328EE7C871E}">
  <dimension ref="A1:B6"/>
  <sheetViews>
    <sheetView showGridLines="0" workbookViewId="0">
      <selection activeCell="N14" sqref="N14"/>
    </sheetView>
  </sheetViews>
  <sheetFormatPr defaultColWidth="8.90625" defaultRowHeight="15" x14ac:dyDescent="0.35"/>
  <cols>
    <col min="1" max="1" width="10" style="6" customWidth="1"/>
    <col min="2" max="16384" width="8.90625" style="6"/>
  </cols>
  <sheetData>
    <row r="1" spans="1:2" x14ac:dyDescent="0.35">
      <c r="A1" s="8" t="s">
        <v>8</v>
      </c>
      <c r="B1" s="8" t="s">
        <v>274</v>
      </c>
    </row>
    <row r="2" spans="1:2" x14ac:dyDescent="0.35">
      <c r="A2" s="6" t="s">
        <v>20</v>
      </c>
      <c r="B2" s="7">
        <v>40</v>
      </c>
    </row>
    <row r="3" spans="1:2" x14ac:dyDescent="0.35">
      <c r="A3" s="7" t="s">
        <v>275</v>
      </c>
      <c r="B3" s="7">
        <v>156</v>
      </c>
    </row>
    <row r="5" spans="1:2" x14ac:dyDescent="0.35">
      <c r="B5" s="34"/>
    </row>
    <row r="6" spans="1:2" x14ac:dyDescent="0.35">
      <c r="A6" s="3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B804-0180-448E-913E-3BDCD32CA5A1}">
  <dimension ref="A1:B3"/>
  <sheetViews>
    <sheetView showGridLines="0" workbookViewId="0">
      <selection activeCell="Q10" sqref="Q10"/>
    </sheetView>
  </sheetViews>
  <sheetFormatPr defaultColWidth="8.90625" defaultRowHeight="15" x14ac:dyDescent="0.35"/>
  <cols>
    <col min="1" max="1" width="10" style="1" customWidth="1"/>
    <col min="2" max="16384" width="8.90625" style="1"/>
  </cols>
  <sheetData>
    <row r="1" spans="1:2" x14ac:dyDescent="0.35">
      <c r="A1" s="9" t="s">
        <v>8</v>
      </c>
      <c r="B1" s="9" t="s">
        <v>274</v>
      </c>
    </row>
    <row r="2" spans="1:2" x14ac:dyDescent="0.35">
      <c r="A2" s="4" t="s">
        <v>20</v>
      </c>
      <c r="B2" s="4">
        <v>40</v>
      </c>
    </row>
    <row r="3" spans="1:2" x14ac:dyDescent="0.35">
      <c r="A3" s="4" t="s">
        <v>275</v>
      </c>
      <c r="B3" s="4">
        <v>156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61C6-F386-4CC8-B0A4-D5CB238CB6A1}">
  <dimension ref="A3:B8"/>
  <sheetViews>
    <sheetView showGridLines="0" workbookViewId="0">
      <selection activeCell="B17" sqref="B17"/>
    </sheetView>
  </sheetViews>
  <sheetFormatPr defaultColWidth="8.90625" defaultRowHeight="15" x14ac:dyDescent="0.35"/>
  <cols>
    <col min="1" max="1" width="19" style="1" bestFit="1" customWidth="1"/>
    <col min="2" max="2" width="32" style="1" bestFit="1" customWidth="1"/>
    <col min="3" max="16384" width="8.90625" style="1"/>
  </cols>
  <sheetData>
    <row r="3" spans="1:2" x14ac:dyDescent="0.35">
      <c r="A3" s="4" t="s">
        <v>225</v>
      </c>
      <c r="B3" s="4" t="s">
        <v>276</v>
      </c>
    </row>
    <row r="4" spans="1:2" x14ac:dyDescent="0.35">
      <c r="A4" s="5" t="s">
        <v>229</v>
      </c>
      <c r="B4" s="10">
        <v>21.225000000000001</v>
      </c>
    </row>
    <row r="5" spans="1:2" x14ac:dyDescent="0.35">
      <c r="A5" s="5" t="s">
        <v>226</v>
      </c>
      <c r="B5" s="10">
        <v>21.225000000000001</v>
      </c>
    </row>
    <row r="6" spans="1:2" x14ac:dyDescent="0.35">
      <c r="A6" s="6"/>
      <c r="B6" s="6"/>
    </row>
    <row r="7" spans="1:2" x14ac:dyDescent="0.35">
      <c r="A7" s="6"/>
      <c r="B7" s="6"/>
    </row>
    <row r="8" spans="1:2" x14ac:dyDescent="0.35">
      <c r="A8" s="6"/>
      <c r="B8" s="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404F-496F-4030-8253-D9B15E0523AE}">
  <dimension ref="A3:B8"/>
  <sheetViews>
    <sheetView showGridLines="0" workbookViewId="0">
      <selection activeCell="B15" sqref="B15"/>
    </sheetView>
  </sheetViews>
  <sheetFormatPr defaultColWidth="8.90625" defaultRowHeight="15" x14ac:dyDescent="0.35"/>
  <cols>
    <col min="1" max="1" width="19" style="1" bestFit="1" customWidth="1"/>
    <col min="2" max="2" width="24.1796875" style="1" bestFit="1" customWidth="1"/>
    <col min="3" max="16384" width="8.90625" style="1"/>
  </cols>
  <sheetData>
    <row r="3" spans="1:2" x14ac:dyDescent="0.35">
      <c r="A3" s="4" t="s">
        <v>225</v>
      </c>
      <c r="B3" s="11" t="s">
        <v>277</v>
      </c>
    </row>
    <row r="4" spans="1:2" x14ac:dyDescent="0.35">
      <c r="A4" s="5" t="s">
        <v>229</v>
      </c>
      <c r="B4" s="11">
        <v>-31799.825000000001</v>
      </c>
    </row>
    <row r="5" spans="1:2" x14ac:dyDescent="0.35">
      <c r="A5" s="5" t="s">
        <v>226</v>
      </c>
      <c r="B5" s="11">
        <v>-31799.825000000001</v>
      </c>
    </row>
    <row r="6" spans="1:2" x14ac:dyDescent="0.35">
      <c r="A6" s="6"/>
      <c r="B6" s="6"/>
    </row>
    <row r="7" spans="1:2" x14ac:dyDescent="0.35">
      <c r="A7" s="6"/>
      <c r="B7" s="6"/>
    </row>
    <row r="8" spans="1:2" x14ac:dyDescent="0.35">
      <c r="A8" s="6"/>
      <c r="B8"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21FA-4C82-4FAA-9316-F79737C10809}">
  <dimension ref="B2:AE15"/>
  <sheetViews>
    <sheetView zoomScale="81" workbookViewId="0">
      <selection activeCell="F8" sqref="F8"/>
    </sheetView>
  </sheetViews>
  <sheetFormatPr defaultColWidth="8.90625" defaultRowHeight="15" x14ac:dyDescent="0.35"/>
  <cols>
    <col min="1" max="3" width="8.90625" style="1"/>
    <col min="4" max="4" width="76.453125" style="1" customWidth="1"/>
    <col min="5" max="6" width="8.90625" style="1"/>
    <col min="7" max="7" width="59.453125" style="1" bestFit="1" customWidth="1"/>
    <col min="8" max="9" width="8.90625" style="1"/>
    <col min="10" max="10" width="74.453125" style="1" customWidth="1"/>
    <col min="11" max="11" width="57.54296875" style="1" customWidth="1"/>
    <col min="12" max="16384" width="8.90625" style="1"/>
  </cols>
  <sheetData>
    <row r="2" spans="2:31" ht="31.8" x14ac:dyDescent="0.5">
      <c r="E2" s="39" t="s">
        <v>279</v>
      </c>
    </row>
    <row r="4" spans="2:31" ht="34.200000000000003" x14ac:dyDescent="0.5">
      <c r="D4" s="23" t="s">
        <v>252</v>
      </c>
      <c r="G4" s="24" t="s">
        <v>263</v>
      </c>
      <c r="J4" s="24" t="s">
        <v>267</v>
      </c>
      <c r="K4" s="23" t="s">
        <v>273</v>
      </c>
    </row>
    <row r="5" spans="2:31" ht="26.4" customHeight="1" x14ac:dyDescent="0.35"/>
    <row r="6" spans="2:31" hidden="1" x14ac:dyDescent="0.35">
      <c r="G6" s="2" t="s">
        <v>265</v>
      </c>
    </row>
    <row r="7" spans="2:31" ht="229.2" customHeight="1" x14ac:dyDescent="0.5">
      <c r="B7" s="25"/>
      <c r="D7" s="23" t="s">
        <v>253</v>
      </c>
      <c r="G7" s="26" t="s">
        <v>264</v>
      </c>
      <c r="I7" s="27"/>
      <c r="J7" s="28" t="s">
        <v>268</v>
      </c>
      <c r="K7" s="28" t="s">
        <v>272</v>
      </c>
    </row>
    <row r="8" spans="2:31" ht="64.8" x14ac:dyDescent="0.45">
      <c r="D8" s="29" t="s">
        <v>254</v>
      </c>
    </row>
    <row r="9" spans="2:31" ht="24.6" x14ac:dyDescent="0.4">
      <c r="D9" s="30" t="s">
        <v>256</v>
      </c>
    </row>
    <row r="10" spans="2:31" ht="21.6" x14ac:dyDescent="0.45">
      <c r="D10" s="31" t="s">
        <v>255</v>
      </c>
      <c r="AE10" s="1" t="s">
        <v>266</v>
      </c>
    </row>
    <row r="12" spans="2:31" ht="24.6" x14ac:dyDescent="0.4">
      <c r="D12" s="30" t="s">
        <v>257</v>
      </c>
    </row>
    <row r="13" spans="2:31" ht="74.400000000000006" x14ac:dyDescent="0.4">
      <c r="D13" s="32" t="s">
        <v>259</v>
      </c>
    </row>
    <row r="15" spans="2:31" ht="93" x14ac:dyDescent="0.4">
      <c r="D15" s="33" t="s">
        <v>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413C-25BE-4C2C-BCD3-AEE7E3FEAEAD}">
  <dimension ref="A1:G5"/>
  <sheetViews>
    <sheetView showGridLines="0" showRowColHeaders="0" tabSelected="1" zoomScale="72" workbookViewId="0">
      <selection activeCell="AC17" sqref="AC17"/>
    </sheetView>
  </sheetViews>
  <sheetFormatPr defaultColWidth="8.90625" defaultRowHeight="15" x14ac:dyDescent="0.35"/>
  <cols>
    <col min="1" max="16384" width="8.90625" style="6"/>
  </cols>
  <sheetData>
    <row r="1" spans="1:7" ht="47.4" x14ac:dyDescent="0.95">
      <c r="A1" s="37"/>
      <c r="G1" s="38" t="s">
        <v>278</v>
      </c>
    </row>
    <row r="5" spans="1:7" x14ac:dyDescent="0.35">
      <c r="G5"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F5FDD15-1D6F-4C72-AB85-6EF088CE11D1}">
  <ds:schemaRefs/>
</ds:datastoreItem>
</file>

<file path=customXml/itemProps2.xml><?xml version="1.0" encoding="utf-8"?>
<ds:datastoreItem xmlns:ds="http://schemas.openxmlformats.org/officeDocument/2006/customXml" ds:itemID="{5BD0295F-0356-4021-AFE2-0B28AF58D92C}">
  <ds:schemaRefs/>
</ds:datastoreItem>
</file>

<file path=customXml/itemProps3.xml><?xml version="1.0" encoding="utf-8"?>
<ds:datastoreItem xmlns:ds="http://schemas.openxmlformats.org/officeDocument/2006/customXml" ds:itemID="{CE4C80AB-621F-447C-9E81-49E5B4437C7C}">
  <ds:schemaRefs/>
</ds:datastoreItem>
</file>

<file path=customXml/itemProps4.xml><?xml version="1.0" encoding="utf-8"?>
<ds:datastoreItem xmlns:ds="http://schemas.openxmlformats.org/officeDocument/2006/customXml" ds:itemID="{BB48B696-FC3A-4E2D-A1A7-2AF546111C64}">
  <ds:schemaRefs/>
</ds:datastoreItem>
</file>

<file path=customXml/itemProps5.xml><?xml version="1.0" encoding="utf-8"?>
<ds:datastoreItem xmlns:ds="http://schemas.openxmlformats.org/officeDocument/2006/customXml" ds:itemID="{AB7ABE9B-376B-4B51-AA7E-DB2C2F014947}">
  <ds:schemaRefs/>
</ds:datastoreItem>
</file>

<file path=customXml/itemProps6.xml><?xml version="1.0" encoding="utf-8"?>
<ds:datastoreItem xmlns:ds="http://schemas.openxmlformats.org/officeDocument/2006/customXml" ds:itemID="{A8E758FB-7CE5-44F7-8665-9DF168879370}">
  <ds:schemaRefs/>
</ds:datastoreItem>
</file>

<file path=customXml/itemProps7.xml><?xml version="1.0" encoding="utf-8"?>
<ds:datastoreItem xmlns:ds="http://schemas.openxmlformats.org/officeDocument/2006/customXml" ds:itemID="{772E93C0-3978-4E4D-8E42-91CE3594FBC9}">
  <ds:schemaRefs/>
</ds:datastoreItem>
</file>

<file path=customXml/itemProps8.xml><?xml version="1.0" encoding="utf-8"?>
<ds:datastoreItem xmlns:ds="http://schemas.openxmlformats.org/officeDocument/2006/customXml" ds:itemID="{EFC714B9-B73D-4552-913E-6BCDBBBB7B5D}">
  <ds:schemaRefs/>
</ds:datastoreItem>
</file>

<file path=customXml/itemProps9.xml><?xml version="1.0" encoding="utf-8"?>
<ds:datastoreItem xmlns:ds="http://schemas.openxmlformats.org/officeDocument/2006/customXml" ds:itemID="{6E41A76E-DEFE-4BD4-AEFD-5DC69D296687}">
  <ds:schemaRefs/>
</ds:datastoreItem>
</file>

<file path=customXml/itemProps10.xml><?xml version="1.0" encoding="utf-8"?>
<ds:datastoreItem xmlns:ds="http://schemas.openxmlformats.org/officeDocument/2006/customXml" ds:itemID="{3C0A0333-6C08-4896-8494-0B182AD0B29C}">
  <ds:schemaRefs/>
</ds:datastoreItem>
</file>

<file path=customXml/itemProps11.xml><?xml version="1.0" encoding="utf-8"?>
<ds:datastoreItem xmlns:ds="http://schemas.openxmlformats.org/officeDocument/2006/customXml" ds:itemID="{20C998A1-9C21-42EF-B8FA-D4761F63C7B9}">
  <ds:schemaRefs/>
</ds:datastoreItem>
</file>

<file path=customXml/itemProps12.xml><?xml version="1.0" encoding="utf-8"?>
<ds:datastoreItem xmlns:ds="http://schemas.openxmlformats.org/officeDocument/2006/customXml" ds:itemID="{E0B541DB-51AE-4847-811D-DF276E4FA2D6}">
  <ds:schemaRefs/>
</ds:datastoreItem>
</file>

<file path=customXml/itemProps13.xml><?xml version="1.0" encoding="utf-8"?>
<ds:datastoreItem xmlns:ds="http://schemas.openxmlformats.org/officeDocument/2006/customXml" ds:itemID="{F2962225-5C95-4169-9601-554D245C8804}">
  <ds:schemaRefs/>
</ds:datastoreItem>
</file>

<file path=customXml/itemProps14.xml><?xml version="1.0" encoding="utf-8"?>
<ds:datastoreItem xmlns:ds="http://schemas.openxmlformats.org/officeDocument/2006/customXml" ds:itemID="{21C874C5-6DE5-47BC-9EBE-542F8705BDCC}">
  <ds:schemaRefs/>
</ds:datastoreItem>
</file>

<file path=customXml/itemProps15.xml><?xml version="1.0" encoding="utf-8"?>
<ds:datastoreItem xmlns:ds="http://schemas.openxmlformats.org/officeDocument/2006/customXml" ds:itemID="{93683AC7-04EF-4270-8AB2-1ADB4D656CC9}">
  <ds:schemaRefs/>
</ds:datastoreItem>
</file>

<file path=customXml/itemProps16.xml><?xml version="1.0" encoding="utf-8"?>
<ds:datastoreItem xmlns:ds="http://schemas.openxmlformats.org/officeDocument/2006/customXml" ds:itemID="{612D6D10-C50D-4209-AFEA-6D9763C54D1C}">
  <ds:schemaRefs/>
</ds:datastoreItem>
</file>

<file path=customXml/itemProps17.xml><?xml version="1.0" encoding="utf-8"?>
<ds:datastoreItem xmlns:ds="http://schemas.openxmlformats.org/officeDocument/2006/customXml" ds:itemID="{D3278FA3-42BD-4007-B529-49B9FC92E7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RECRUITMENT DATA</vt:lpstr>
      <vt:lpstr>RECRUITMENT FUNNEL DISTRIBUTION</vt:lpstr>
      <vt:lpstr>HIRING CONVERSION RATE</vt:lpstr>
      <vt:lpstr>HIRING SUCCESS RATIO</vt:lpstr>
      <vt:lpstr>AVERAGE TIME TO HIRE ANALYSIS</vt:lpstr>
      <vt:lpstr>SALARY GAP ANALYSIS</vt:lpstr>
      <vt:lpstr>KEY INSIGHTS</vt:lpstr>
      <vt:lpstr>RECRUITMENT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Vishwakarma</dc:creator>
  <cp:lastModifiedBy>Shweta Vishwakarma</cp:lastModifiedBy>
  <dcterms:created xsi:type="dcterms:W3CDTF">2026-02-16T14:36:55Z</dcterms:created>
  <dcterms:modified xsi:type="dcterms:W3CDTF">2026-03-09T15:23:36Z</dcterms:modified>
</cp:coreProperties>
</file>